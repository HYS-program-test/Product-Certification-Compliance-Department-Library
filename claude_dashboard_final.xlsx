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ngys\Desktop\AI seed\test program-2\cert_query_system\雲端版本\"/>
    </mc:Choice>
  </mc:AlternateContent>
  <xr:revisionPtr revIDLastSave="0" documentId="8_{E035C42C-6E6A-4716-9230-505626FEBABD}" xr6:coauthVersionLast="36" xr6:coauthVersionMax="36" xr10:uidLastSave="{00000000-0000-0000-0000-000000000000}"/>
  <bookViews>
    <workbookView xWindow="0" yWindow="0" windowWidth="20496" windowHeight="7380" activeTab="1" xr2:uid="{00000000-000D-0000-FFFF-FFFF00000000}"/>
  </bookViews>
  <sheets>
    <sheet name="Dashboard" sheetId="1" r:id="rId1"/>
    <sheet name="工作表1" sheetId="2" r:id="rId2"/>
    <sheet name="工作表2" sheetId="3" r:id="rId3"/>
    <sheet name="到期清單" sheetId="4" r:id="rId4"/>
    <sheet name="圖表資料" sheetId="5" r:id="rId5"/>
  </sheets>
  <definedNames>
    <definedName name="_xlnm._FilterDatabase" localSheetId="1" hidden="1">工作表1!$G$1:$G$235</definedName>
  </definedNames>
  <calcPr calcId="191029"/>
</workbook>
</file>

<file path=xl/calcChain.xml><?xml version="1.0" encoding="utf-8"?>
<calcChain xmlns="http://schemas.openxmlformats.org/spreadsheetml/2006/main">
  <c r="K47" i="5" l="1"/>
  <c r="I32" i="5" a="1"/>
  <c r="I32" i="5" s="1"/>
  <c r="H32" i="5" a="1"/>
  <c r="H32" i="5" s="1"/>
  <c r="I31" i="5" a="1"/>
  <c r="I31" i="5" s="1"/>
  <c r="H31" i="5" a="1"/>
  <c r="H31" i="5" s="1"/>
  <c r="I30" i="5" a="1"/>
  <c r="I30" i="5" s="1"/>
  <c r="H30" i="5" a="1"/>
  <c r="H30" i="5" s="1"/>
  <c r="I29" i="5" a="1"/>
  <c r="I29" i="5" s="1"/>
  <c r="H29" i="5" a="1"/>
  <c r="H29" i="5" s="1"/>
  <c r="K25" i="5"/>
  <c r="J25" i="5"/>
  <c r="I25" i="5"/>
  <c r="H25" i="5"/>
  <c r="K24" i="5"/>
  <c r="J24" i="5"/>
  <c r="I24" i="5"/>
  <c r="H24" i="5"/>
  <c r="K23" i="5"/>
  <c r="J23" i="5"/>
  <c r="I23" i="5"/>
  <c r="H23" i="5"/>
  <c r="K22" i="5"/>
  <c r="J22" i="5"/>
  <c r="I22" i="5"/>
  <c r="H22" i="5"/>
  <c r="D18" i="5"/>
  <c r="B18" i="5"/>
  <c r="A18" i="5"/>
  <c r="D17" i="5"/>
  <c r="B17" i="5"/>
  <c r="A17" i="5"/>
  <c r="D16" i="5"/>
  <c r="B16" i="5"/>
  <c r="A16" i="5"/>
  <c r="D15" i="5"/>
  <c r="B15" i="5"/>
  <c r="A15" i="5"/>
  <c r="D14" i="5"/>
  <c r="B14" i="5"/>
  <c r="A14" i="5"/>
  <c r="D13" i="5"/>
  <c r="B13" i="5"/>
  <c r="A13" i="5"/>
  <c r="E9" i="5"/>
  <c r="E22" i="1" s="1"/>
  <c r="B9" i="5"/>
  <c r="E8" i="1" s="1"/>
  <c r="E8" i="5" a="1"/>
  <c r="E8" i="5" s="1"/>
  <c r="B8" i="5"/>
  <c r="E7" i="5" a="1"/>
  <c r="E7" i="5" s="1"/>
  <c r="B7" i="5"/>
  <c r="E6" i="5" a="1"/>
  <c r="E6" i="5" s="1"/>
  <c r="B6" i="5"/>
  <c r="E5" i="5" a="1"/>
  <c r="E5" i="5" s="1"/>
  <c r="B5" i="5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K37" i="5" s="1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AP12" i="2" a="1"/>
  <c r="AP12" i="2"/>
  <c r="Z12" i="2"/>
  <c r="AP11" i="2" a="1"/>
  <c r="AP11" i="2" s="1"/>
  <c r="Z11" i="2"/>
  <c r="AP10" i="2" a="1"/>
  <c r="AP10" i="2"/>
  <c r="Z10" i="2"/>
  <c r="AP9" i="2" a="1"/>
  <c r="AP9" i="2" s="1"/>
  <c r="Z9" i="2"/>
  <c r="Z8" i="2"/>
  <c r="Z7" i="2"/>
  <c r="Z6" i="2"/>
  <c r="Z5" i="2"/>
  <c r="J41" i="5" s="1"/>
  <c r="Z4" i="2"/>
  <c r="Z3" i="2"/>
  <c r="J47" i="5" s="1"/>
  <c r="AQ2" i="2"/>
  <c r="O26" i="1"/>
  <c r="N26" i="1"/>
  <c r="L26" i="1"/>
  <c r="K26" i="1"/>
  <c r="J26" i="1"/>
  <c r="H26" i="1"/>
  <c r="O25" i="1"/>
  <c r="N25" i="1"/>
  <c r="L25" i="1"/>
  <c r="K25" i="1"/>
  <c r="J25" i="1"/>
  <c r="H25" i="1"/>
  <c r="O24" i="1"/>
  <c r="N24" i="1"/>
  <c r="L24" i="1"/>
  <c r="K24" i="1"/>
  <c r="J24" i="1"/>
  <c r="H24" i="1"/>
  <c r="O23" i="1"/>
  <c r="N23" i="1"/>
  <c r="L23" i="1"/>
  <c r="K23" i="1"/>
  <c r="J23" i="1"/>
  <c r="H23" i="1"/>
  <c r="O22" i="1"/>
  <c r="N22" i="1"/>
  <c r="L22" i="1"/>
  <c r="K22" i="1"/>
  <c r="J22" i="1"/>
  <c r="H22" i="1"/>
  <c r="O21" i="1"/>
  <c r="N21" i="1"/>
  <c r="L21" i="1"/>
  <c r="K21" i="1"/>
  <c r="J21" i="1"/>
  <c r="H21" i="1"/>
  <c r="O20" i="1"/>
  <c r="N20" i="1"/>
  <c r="L20" i="1"/>
  <c r="K20" i="1"/>
  <c r="J20" i="1"/>
  <c r="H20" i="1"/>
  <c r="O19" i="1"/>
  <c r="N19" i="1"/>
  <c r="L19" i="1"/>
  <c r="K19" i="1"/>
  <c r="J19" i="1"/>
  <c r="H19" i="1"/>
  <c r="O18" i="1"/>
  <c r="N18" i="1"/>
  <c r="L18" i="1"/>
  <c r="K18" i="1"/>
  <c r="J18" i="1"/>
  <c r="H18" i="1"/>
  <c r="O12" i="1"/>
  <c r="N12" i="1"/>
  <c r="L12" i="1"/>
  <c r="K12" i="1"/>
  <c r="J12" i="1"/>
  <c r="H12" i="1"/>
  <c r="O11" i="1"/>
  <c r="N11" i="1"/>
  <c r="L11" i="1"/>
  <c r="K11" i="1"/>
  <c r="J11" i="1"/>
  <c r="H11" i="1"/>
  <c r="O10" i="1"/>
  <c r="N10" i="1"/>
  <c r="L10" i="1"/>
  <c r="K10" i="1"/>
  <c r="J10" i="1"/>
  <c r="H10" i="1"/>
  <c r="O9" i="1"/>
  <c r="N9" i="1"/>
  <c r="L9" i="1"/>
  <c r="K9" i="1"/>
  <c r="J9" i="1"/>
  <c r="H9" i="1"/>
  <c r="O8" i="1"/>
  <c r="N8" i="1"/>
  <c r="L8" i="1"/>
  <c r="K8" i="1"/>
  <c r="J8" i="1"/>
  <c r="H8" i="1"/>
  <c r="O7" i="1"/>
  <c r="N7" i="1"/>
  <c r="L7" i="1"/>
  <c r="K7" i="1"/>
  <c r="J7" i="1"/>
  <c r="H7" i="1"/>
  <c r="O6" i="1"/>
  <c r="N6" i="1"/>
  <c r="L6" i="1"/>
  <c r="K6" i="1"/>
  <c r="J6" i="1"/>
  <c r="H6" i="1"/>
  <c r="O5" i="1"/>
  <c r="N5" i="1"/>
  <c r="L5" i="1"/>
  <c r="K5" i="1"/>
  <c r="J5" i="1"/>
  <c r="H5" i="1"/>
  <c r="O4" i="1"/>
  <c r="N4" i="1"/>
  <c r="L4" i="1"/>
  <c r="K4" i="1"/>
  <c r="J4" i="1"/>
  <c r="H4" i="1"/>
  <c r="H33" i="5" l="1"/>
  <c r="I33" i="5"/>
  <c r="J29" i="5"/>
  <c r="M29" i="5" s="1"/>
  <c r="N29" i="5" s="1"/>
  <c r="J30" i="5"/>
  <c r="M30" i="5" s="1"/>
  <c r="N30" i="5" s="1"/>
  <c r="J31" i="5"/>
  <c r="M31" i="5" s="1"/>
  <c r="N31" i="5" s="1"/>
  <c r="J32" i="5"/>
  <c r="M32" i="5" s="1"/>
  <c r="N32" i="5" s="1"/>
  <c r="I41" i="5"/>
  <c r="I44" i="5"/>
  <c r="K38" i="5"/>
  <c r="K44" i="5"/>
  <c r="H36" i="5"/>
  <c r="H39" i="5"/>
  <c r="H42" i="5"/>
  <c r="H45" i="5"/>
  <c r="K41" i="5"/>
  <c r="I39" i="5"/>
  <c r="I42" i="5"/>
  <c r="I45" i="5"/>
  <c r="I36" i="5"/>
  <c r="J36" i="5"/>
  <c r="J39" i="5"/>
  <c r="J42" i="5"/>
  <c r="J45" i="5"/>
  <c r="K36" i="5"/>
  <c r="K39" i="5"/>
  <c r="K42" i="5"/>
  <c r="K45" i="5"/>
  <c r="H37" i="5"/>
  <c r="H40" i="5"/>
  <c r="H43" i="5"/>
  <c r="H46" i="5"/>
  <c r="I38" i="5"/>
  <c r="J37" i="5"/>
  <c r="J40" i="5"/>
  <c r="J43" i="5"/>
  <c r="J46" i="5"/>
  <c r="I40" i="5"/>
  <c r="I43" i="5"/>
  <c r="I46" i="5"/>
  <c r="K40" i="5"/>
  <c r="K43" i="5"/>
  <c r="K46" i="5"/>
  <c r="I37" i="5"/>
  <c r="H38" i="5"/>
  <c r="H41" i="5"/>
  <c r="H44" i="5"/>
  <c r="H47" i="5"/>
  <c r="I47" i="5"/>
  <c r="J38" i="5"/>
  <c r="J44" i="5"/>
  <c r="J33" i="5" l="1"/>
  <c r="E36" i="1" s="1"/>
</calcChain>
</file>

<file path=xl/sharedStrings.xml><?xml version="1.0" encoding="utf-8"?>
<sst xmlns="http://schemas.openxmlformats.org/spreadsheetml/2006/main" count="1785" uniqueCount="667">
  <si>
    <t>⚠️  商品驗證 即將到期（90天內）</t>
  </si>
  <si>
    <t>證書編號</t>
  </si>
  <si>
    <t>有效日期</t>
  </si>
  <si>
    <t>剩餘天數</t>
  </si>
  <si>
    <t>張</t>
  </si>
  <si>
    <t>▶  刷新到期清單</t>
  </si>
  <si>
    <t>⚠️  節能標章 即將到期（90天內）</t>
  </si>
  <si>
    <t>實驗室</t>
  </si>
  <si>
    <t>類別</t>
  </si>
  <si>
    <t>室外機型號</t>
  </si>
  <si>
    <t>測試搭配
(無風管內機型號)</t>
  </si>
  <si>
    <t>核備</t>
  </si>
  <si>
    <t>商品驗證登錄證書編號</t>
  </si>
  <si>
    <t>證書有效
期限</t>
  </si>
  <si>
    <t>2027年
年費</t>
  </si>
  <si>
    <t>已展延</t>
  </si>
  <si>
    <t>分類</t>
  </si>
  <si>
    <t>計算用</t>
  </si>
  <si>
    <t>安規測試
報告編號</t>
  </si>
  <si>
    <t>額定冷氣能力(kW)</t>
  </si>
  <si>
    <t>中間冷氣能力(kW)</t>
  </si>
  <si>
    <t>額定消耗功率(W)</t>
  </si>
  <si>
    <t>額定中間消耗功率(W)</t>
  </si>
  <si>
    <t>冷氣季節性能因數
CSPF</t>
  </si>
  <si>
    <t>CSPF
實測/標示</t>
  </si>
  <si>
    <t>標準</t>
  </si>
  <si>
    <t>符合CSPF
節能標章</t>
  </si>
  <si>
    <t>節能標章
證書編號</t>
  </si>
  <si>
    <t>節能標章
有效日期</t>
  </si>
  <si>
    <t>能源效率分級</t>
  </si>
  <si>
    <t>登錄編號</t>
  </si>
  <si>
    <t>核對用</t>
  </si>
  <si>
    <t>實測值</t>
  </si>
  <si>
    <t>標示值</t>
  </si>
  <si>
    <t>商品驗證登錄證書總數</t>
  </si>
  <si>
    <t>ETC</t>
  </si>
  <si>
    <t>RA</t>
  </si>
  <si>
    <t>RXV36ZVLT</t>
  </si>
  <si>
    <t>FTXV36ZVLT</t>
  </si>
  <si>
    <t>CI3A3161862273</t>
  </si>
  <si>
    <t>24-08-VAA-002</t>
  </si>
  <si>
    <t>11404278</t>
  </si>
  <si>
    <t>1</t>
  </si>
  <si>
    <t>ACN1-113-7799</t>
  </si>
  <si>
    <t>RXV41ZVLT</t>
  </si>
  <si>
    <t>FTXV41ZVLT</t>
  </si>
  <si>
    <t>CI3A3161862301</t>
  </si>
  <si>
    <t>24-08-VAA-003</t>
  </si>
  <si>
    <t>ACN1-114-0104</t>
  </si>
  <si>
    <t>RXV50ZVLT</t>
  </si>
  <si>
    <t>FTXV50ZVLT</t>
  </si>
  <si>
    <t>ACN1-114-0103</t>
  </si>
  <si>
    <t>RXV60ZVLT</t>
  </si>
  <si>
    <t>FTXV60ZVLT</t>
  </si>
  <si>
    <t>ACN1-114-0102</t>
  </si>
  <si>
    <t>RXV71ZVLT</t>
  </si>
  <si>
    <t>FTXV71ZVLT</t>
  </si>
  <si>
    <t>CI3A3161862312</t>
  </si>
  <si>
    <t>24-08-VAA-004</t>
  </si>
  <si>
    <t>ACN1-114-0101</t>
  </si>
  <si>
    <t>TERTEC</t>
  </si>
  <si>
    <t>RHF20VAVLT</t>
  </si>
  <si>
    <t>FTHF20VAVLT</t>
  </si>
  <si>
    <t>CI3A5261862375</t>
  </si>
  <si>
    <t>ACS20240899</t>
  </si>
  <si>
    <t>1100313</t>
  </si>
  <si>
    <t>ACN1-113-0224</t>
  </si>
  <si>
    <t>RHF20ZVLT</t>
  </si>
  <si>
    <t>FTHF20ZVLT</t>
  </si>
  <si>
    <t>1140478</t>
  </si>
  <si>
    <t>ACN1-113-2855</t>
  </si>
  <si>
    <t>RHF25VAVLT</t>
  </si>
  <si>
    <t>FTHF25VAVLT</t>
  </si>
  <si>
    <t>ACN1-113-0225</t>
  </si>
  <si>
    <t>MA</t>
  </si>
  <si>
    <t>RHF25ZVLT</t>
  </si>
  <si>
    <t>FTHF25ZVLT</t>
  </si>
  <si>
    <t>ACN1-113-2856</t>
  </si>
  <si>
    <t>SA</t>
  </si>
  <si>
    <t>RHF30VAVLT</t>
  </si>
  <si>
    <t>FTHF30VAVLT</t>
  </si>
  <si>
    <t>ACN1-115-0721</t>
  </si>
  <si>
    <t>VRV</t>
  </si>
  <si>
    <t>RHF30ZVLT</t>
  </si>
  <si>
    <t>FTHF30ZVLT</t>
  </si>
  <si>
    <t>ACN1-113-2857</t>
  </si>
  <si>
    <t>RHF40VAVLT</t>
  </si>
  <si>
    <t>FTHF40VAVLT</t>
  </si>
  <si>
    <t>CI3A5261862386</t>
  </si>
  <si>
    <t>1120418</t>
  </si>
  <si>
    <t>ACN1-115-0729</t>
  </si>
  <si>
    <t>RHF40VVLT</t>
  </si>
  <si>
    <t>FTHF40VVLT</t>
  </si>
  <si>
    <t>ACS20240900</t>
  </si>
  <si>
    <t>ACN1-115-0732</t>
  </si>
  <si>
    <t>RHF40ZVLT</t>
  </si>
  <si>
    <t>FTHF40ZVLT</t>
  </si>
  <si>
    <t>ACN1-113-2858</t>
  </si>
  <si>
    <t>RHF50VAVLT</t>
  </si>
  <si>
    <t>FTHF50VAVLT</t>
  </si>
  <si>
    <t>1120419</t>
  </si>
  <si>
    <t>ACN1-113-0034</t>
  </si>
  <si>
    <t>RHF50VVLT</t>
  </si>
  <si>
    <t>FTHF50VVLT</t>
  </si>
  <si>
    <t>1100314</t>
  </si>
  <si>
    <t>ACN1-113-0220</t>
  </si>
  <si>
    <t>RHF50ZVLT</t>
  </si>
  <si>
    <t>FTHF50ZVLT</t>
  </si>
  <si>
    <t>ACN1-113-2859</t>
  </si>
  <si>
    <t>RHF60VVLT</t>
  </si>
  <si>
    <t>FTHF60VVLT</t>
  </si>
  <si>
    <t>ACN1-115-0733</t>
  </si>
  <si>
    <t>RHF60VAVLT</t>
  </si>
  <si>
    <t>FTHF60VAVLT</t>
  </si>
  <si>
    <t>ACN1-115-0730</t>
  </si>
  <si>
    <t>RHF60ZVLT</t>
  </si>
  <si>
    <t>FTHF60ZVLT</t>
  </si>
  <si>
    <t>ACN1-113-2860</t>
  </si>
  <si>
    <t>RHF71VVLT</t>
  </si>
  <si>
    <t>FTHF71VVLT</t>
  </si>
  <si>
    <t>CI3A5261862397</t>
  </si>
  <si>
    <t>ACS20240901</t>
  </si>
  <si>
    <t>ACN1-115-0734</t>
  </si>
  <si>
    <t>RHF71VAVLT</t>
  </si>
  <si>
    <t>FTHF71VAVLT</t>
  </si>
  <si>
    <t>ACN1-115-0731</t>
  </si>
  <si>
    <t>RHF71ZVLT</t>
  </si>
  <si>
    <t>FTHF71ZVLT</t>
  </si>
  <si>
    <t>ACN1-113-2861</t>
  </si>
  <si>
    <t>RKF71XVLT</t>
  </si>
  <si>
    <t>FAA71XVLT</t>
  </si>
  <si>
    <t>ACN1-113-0223</t>
  </si>
  <si>
    <t>RXM22ZVLT</t>
  </si>
  <si>
    <t>FTXM22ZVLT</t>
  </si>
  <si>
    <t>CI3A3161862171</t>
  </si>
  <si>
    <t>24-06-VAA-038</t>
  </si>
  <si>
    <t>1140323</t>
  </si>
  <si>
    <t>ACN1-113-4128</t>
  </si>
  <si>
    <t>RXM28ZVLT</t>
  </si>
  <si>
    <t>FTXM28ZVLT</t>
  </si>
  <si>
    <t>ACN1-113-4127</t>
  </si>
  <si>
    <t>RXM36ZVLT</t>
  </si>
  <si>
    <t>FTXM36ZVLT</t>
  </si>
  <si>
    <t>CI3A3161862182</t>
  </si>
  <si>
    <t>24-06-VAA-039</t>
  </si>
  <si>
    <t>ACN1-113-4278</t>
  </si>
  <si>
    <t>RXM41ZVLT</t>
  </si>
  <si>
    <t>FTXM41ZVLT</t>
  </si>
  <si>
    <t>CI3A3161862193</t>
  </si>
  <si>
    <t>24-06-VAA-040</t>
  </si>
  <si>
    <t>ACN1-113-4279</t>
  </si>
  <si>
    <t>RXM50ZVLT</t>
  </si>
  <si>
    <t>FTXM50ZVLT</t>
  </si>
  <si>
    <t>ACN1-113-4280</t>
  </si>
  <si>
    <t>RXM60ZVLT</t>
  </si>
  <si>
    <t>FTXM60ZVLT</t>
  </si>
  <si>
    <t>CI3A3161862221</t>
  </si>
  <si>
    <t>24-07-VAA-001</t>
  </si>
  <si>
    <t>1140322</t>
  </si>
  <si>
    <t>ACN1-113-5397</t>
  </si>
  <si>
    <t>RXM71ZVLT</t>
  </si>
  <si>
    <t>FTXM71ZVLT</t>
  </si>
  <si>
    <t>CI3A3161862232</t>
  </si>
  <si>
    <t>24-07-VAA-002</t>
  </si>
  <si>
    <t>ACN1-113-5407</t>
  </si>
  <si>
    <t>RXM80ZVLT</t>
  </si>
  <si>
    <t>FTXM80ZVLT</t>
  </si>
  <si>
    <t>CI3A3161862240</t>
  </si>
  <si>
    <t>24-07-VAA-003</t>
  </si>
  <si>
    <t>ACN1-113-5408</t>
  </si>
  <si>
    <t>RXM90ZVLT</t>
  </si>
  <si>
    <t>FTXM90ZVLT</t>
  </si>
  <si>
    <t>ACN1-113-5409</t>
  </si>
  <si>
    <t>MIRDC</t>
  </si>
  <si>
    <t>RXM22YVLT</t>
  </si>
  <si>
    <t>FTXM22YVLT</t>
  </si>
  <si>
    <t>CI3A2561862024</t>
  </si>
  <si>
    <t>2306001-S</t>
  </si>
  <si>
    <t>11303718</t>
  </si>
  <si>
    <t>ACN1-113-0293</t>
  </si>
  <si>
    <t>RXM28YVLT</t>
  </si>
  <si>
    <t>FTXM28YVLT</t>
  </si>
  <si>
    <t>ACN1-113-0294</t>
  </si>
  <si>
    <t>RXM36YVLT</t>
  </si>
  <si>
    <t>FTXM36YVLT</t>
  </si>
  <si>
    <t>ACN1-113-0295</t>
  </si>
  <si>
    <t>RXM41YVLT</t>
  </si>
  <si>
    <t>FTXM41YVLT</t>
  </si>
  <si>
    <t>CI3A2561862013</t>
  </si>
  <si>
    <t>2306002-S</t>
  </si>
  <si>
    <t>ACN1-113-0296</t>
  </si>
  <si>
    <t>RXM50YVLT</t>
  </si>
  <si>
    <t>FTXM50YVLT</t>
  </si>
  <si>
    <t>CI3A2561862002</t>
  </si>
  <si>
    <t>2306003-S</t>
  </si>
  <si>
    <t>ACN1-113-0297</t>
  </si>
  <si>
    <t>RXM60YVLT</t>
  </si>
  <si>
    <t>FTXM60YVLT</t>
  </si>
  <si>
    <t>ACN1-113-0298</t>
  </si>
  <si>
    <t>RXM71YVLT</t>
  </si>
  <si>
    <t>FTXM71YVLT</t>
  </si>
  <si>
    <t>CI3A2561861990</t>
  </si>
  <si>
    <t>2306004-S</t>
  </si>
  <si>
    <t>1130372</t>
  </si>
  <si>
    <t>ACN1-113-0299</t>
  </si>
  <si>
    <t>3MXM90PVLT</t>
  </si>
  <si>
    <t>CI3A2261861837</t>
  </si>
  <si>
    <t>ACT20230204</t>
  </si>
  <si>
    <t>ACN1-113-0043</t>
  </si>
  <si>
    <t>3MXM90RVLT</t>
  </si>
  <si>
    <t>ACS20160764</t>
  </si>
  <si>
    <t>ACN1-113-0073</t>
  </si>
  <si>
    <t>2MXM56PVLT</t>
  </si>
  <si>
    <t>CI3A2261861848</t>
  </si>
  <si>
    <t>ACT20230203</t>
  </si>
  <si>
    <t>ACN1-113-0097</t>
  </si>
  <si>
    <t>2MXM56RVLT</t>
  </si>
  <si>
    <t>ACS20160763</t>
  </si>
  <si>
    <t>ACN1-113-0095</t>
  </si>
  <si>
    <t>2MXM75PVLT</t>
  </si>
  <si>
    <t>ACN1-113-0098</t>
  </si>
  <si>
    <t>2MXM75RVLT</t>
  </si>
  <si>
    <t>ACN1-113-0096</t>
  </si>
  <si>
    <t>2MXP85WVLT</t>
  </si>
  <si>
    <t>ACS20210142</t>
  </si>
  <si>
    <t>ACN1-113-0099</t>
  </si>
  <si>
    <t>2MXM56YVLT</t>
  </si>
  <si>
    <t>CI3A3161862072</t>
  </si>
  <si>
    <t>23-08-VAA-001</t>
  </si>
  <si>
    <t>1131008</t>
  </si>
  <si>
    <t>ACN1-113-0285</t>
  </si>
  <si>
    <t>未配對室內機：FTXM22YVLT、FTXM28YVLT、FTXM36YVLT、FTXM41YVLT、FTXMS0YVLT、FTXM6GOYVLT</t>
  </si>
  <si>
    <t>2MXM75YVLT</t>
  </si>
  <si>
    <t>ACN1-113-0286</t>
  </si>
  <si>
    <t>3MXM90YVLT</t>
  </si>
  <si>
    <t>CI3A3161862118</t>
  </si>
  <si>
    <t>23-08-VAA-002</t>
  </si>
  <si>
    <t>ACN1-113-0288</t>
  </si>
  <si>
    <t>未配對室內機：FBA71BVLT</t>
  </si>
  <si>
    <t>4MXM110YVLT</t>
  </si>
  <si>
    <t>CI3A3161862130</t>
  </si>
  <si>
    <t>23-08-VAA-003</t>
  </si>
  <si>
    <t>ACN1-113-0287</t>
  </si>
  <si>
    <t>未配對室內機：FXAQ20AVLT、FXAQ25AVLT、FXAQ32AVLT、FXAQ40AVLT、FXAQ50AVLT、FXCQ20BVT、FXCQ25BVT、FXCQ32BVT、FXCQ40BVT、FXCQ50BVT、FXDQ20PDNVT、FXDQ20PDVT、FXDQ25PDNVT、FXDQ25PDVT、FXDQ32PDNVT、FXDQ32PDVT、FXDQ40NDNVT、FXDQ40NDVT、FXDQ50NDNVT、FXDQ50NDVT、FXFQ25BVT、FXFQ32BVT、FXFQ40BVT、FXFQ50BVT、FXFSQ25BVT、FXFSQ32BVT、FXFSQ40BVT、FXFSQ50BVT、FXMQ20PAVT、FXMQ25PAVT、FXMQ32PAVT、FXMQ40PAVT、FXMQ50PAVT、FXSQ20PAVT、FXSQ25PAVT、FXSQ32PAVT、FXSQ40PAVT、FXSQ50PAVT、FXZQ20BVLT、FXZQ25BVLT、FXZQ32BVLT、FXZQ40BVLT、FXZQ50BVLT</t>
  </si>
  <si>
    <t>2MXP50ZVLT</t>
  </si>
  <si>
    <t>CI3A3261862282</t>
  </si>
  <si>
    <t>ACT20240804</t>
  </si>
  <si>
    <t>1140708</t>
  </si>
  <si>
    <t>ACN1-114-0322</t>
  </si>
  <si>
    <t>未配對室內機：FXCQ20MVET、FXCQ25、FXCQ40、FXCQ63MVET、FXCQ80MVET、FXCQ125MVET、FXFQ25、FXZQ20</t>
  </si>
  <si>
    <t>2MXP85ZVLT</t>
  </si>
  <si>
    <t>CI3A3261862290</t>
  </si>
  <si>
    <t>ACT20240803</t>
  </si>
  <si>
    <t>ACN1-114-0323</t>
  </si>
  <si>
    <t>2MXP50TVLT</t>
  </si>
  <si>
    <t>CI3A9261861407</t>
  </si>
  <si>
    <t>ACT20230017</t>
  </si>
  <si>
    <t>ACN1-113-0083</t>
  </si>
  <si>
    <t>4MXM110PVLT</t>
  </si>
  <si>
    <t>CI3A9261861418</t>
  </si>
  <si>
    <t>ACT20230205</t>
  </si>
  <si>
    <t>ACN1-113-0044</t>
  </si>
  <si>
    <t>4MXM110RVLT</t>
  </si>
  <si>
    <t>ACS20160765</t>
  </si>
  <si>
    <t>ACN1-113-0075</t>
  </si>
  <si>
    <t>RZAC100DYLT</t>
  </si>
  <si>
    <t>FCA100CVLT</t>
  </si>
  <si>
    <t>CI3A2261861890</t>
  </si>
  <si>
    <t>ACT20230201</t>
  </si>
  <si>
    <t>1090969</t>
  </si>
  <si>
    <t>ACN1-113-0169</t>
  </si>
  <si>
    <t>RZAC71DVLT</t>
  </si>
  <si>
    <t>FCA71CVLT</t>
  </si>
  <si>
    <t>CI3A2261861906</t>
  </si>
  <si>
    <t>ACT20230197</t>
  </si>
  <si>
    <t>1090967</t>
  </si>
  <si>
    <t>ACN1-113-0167</t>
  </si>
  <si>
    <t>RZAC100DTLT</t>
  </si>
  <si>
    <t>FBA100BVLT</t>
  </si>
  <si>
    <t>CI3A9261861510</t>
  </si>
  <si>
    <t>ACT20230200</t>
  </si>
  <si>
    <t>1090968</t>
  </si>
  <si>
    <t>ACN1-113-0168</t>
  </si>
  <si>
    <t>RZAC125DTLT</t>
  </si>
  <si>
    <t>FBA125BVLT</t>
  </si>
  <si>
    <t>ACN1-113-0161</t>
  </si>
  <si>
    <t>RZAC140DTLT</t>
  </si>
  <si>
    <t>FBA140BVLT</t>
  </si>
  <si>
    <t>2</t>
  </si>
  <si>
    <t>ACN1-113-0164</t>
  </si>
  <si>
    <t>RZAC71EVLT</t>
  </si>
  <si>
    <t>FCA71DVLT</t>
  </si>
  <si>
    <t>CI3A3261862204</t>
  </si>
  <si>
    <t>ACT20240666</t>
  </si>
  <si>
    <t>11404638</t>
  </si>
  <si>
    <t>ACN1-113-5415</t>
  </si>
  <si>
    <t>RZF71DVLT</t>
  </si>
  <si>
    <t>CI3A3261862215</t>
  </si>
  <si>
    <t>ACN1-113-5414</t>
  </si>
  <si>
    <t>RZAC125DVLT</t>
  </si>
  <si>
    <t>CI3A2261861860</t>
  </si>
  <si>
    <t>ACT20230199</t>
  </si>
  <si>
    <t>ACN1-113-0162</t>
  </si>
  <si>
    <t>RZAC140DVLT</t>
  </si>
  <si>
    <t>FCA140CVLT</t>
  </si>
  <si>
    <t>ACN1-113-0165</t>
  </si>
  <si>
    <t>RZAC100DVLT</t>
  </si>
  <si>
    <t>CI3A2261861871</t>
  </si>
  <si>
    <t>ACT20230198</t>
  </si>
  <si>
    <t>ACN1-113-0160</t>
  </si>
  <si>
    <t>RZAC125DYLT</t>
  </si>
  <si>
    <t>FCA125CVLT</t>
  </si>
  <si>
    <t>CI3A2261861882</t>
  </si>
  <si>
    <t>ACT20230202</t>
  </si>
  <si>
    <t>ACN1-113-0163</t>
  </si>
  <si>
    <t>RZAC140DYLT</t>
  </si>
  <si>
    <t>ACN1-113-0166</t>
  </si>
  <si>
    <t>RZAC140ETLT</t>
  </si>
  <si>
    <t>FCA140DVLT</t>
  </si>
  <si>
    <t>CI3A3561862086</t>
  </si>
  <si>
    <t>2306006-S</t>
  </si>
  <si>
    <t>1131007</t>
  </si>
  <si>
    <t>ACN1-113-0102</t>
  </si>
  <si>
    <t>RZAC100ETLT</t>
  </si>
  <si>
    <t>C13A3561862097</t>
  </si>
  <si>
    <t>2306005-S</t>
  </si>
  <si>
    <t>ACN1-113-0100</t>
  </si>
  <si>
    <t>RZAC125ETLT</t>
  </si>
  <si>
    <t>FCA125DVLT</t>
  </si>
  <si>
    <t>ACN1-113-0101</t>
  </si>
  <si>
    <t>RZF100DTLT</t>
  </si>
  <si>
    <t>FCA100DVLT</t>
  </si>
  <si>
    <t>CI3A3561862100</t>
  </si>
  <si>
    <t>2306007-S</t>
  </si>
  <si>
    <t>2.403.3</t>
  </si>
  <si>
    <t>ACN1-113-0103</t>
  </si>
  <si>
    <t>RZF125DTLT</t>
  </si>
  <si>
    <t>ACN1-113-0104</t>
  </si>
  <si>
    <t>RZF140DTLT</t>
  </si>
  <si>
    <t>ACN1-113-0105</t>
  </si>
  <si>
    <t>RZF100CVLT</t>
  </si>
  <si>
    <t>CI3A4161862352</t>
  </si>
  <si>
    <t>19-04-VAA-034</t>
  </si>
  <si>
    <t>1090179</t>
  </si>
  <si>
    <t>ACN1-113-0136</t>
  </si>
  <si>
    <t>RZF125CVLT</t>
  </si>
  <si>
    <t>ACN1-113-0138</t>
  </si>
  <si>
    <t>RZF140CVLT</t>
  </si>
  <si>
    <t>ACN1-113-0139</t>
  </si>
  <si>
    <t>RZF100CYLT</t>
  </si>
  <si>
    <t>CI3A5161862405</t>
  </si>
  <si>
    <t>19-04-VAA-032</t>
  </si>
  <si>
    <t>ACN1-113-0137</t>
  </si>
  <si>
    <t>RZF125CYLT</t>
  </si>
  <si>
    <t>23-01-VAA-006</t>
  </si>
  <si>
    <t>ACN1-113-0145</t>
  </si>
  <si>
    <t>RZF140CYLT</t>
  </si>
  <si>
    <t>ACN1-113-0147</t>
  </si>
  <si>
    <t>RSUYQ112AVT</t>
  </si>
  <si>
    <t>CI3A2261861779</t>
  </si>
  <si>
    <t>ACT20220493</t>
  </si>
  <si>
    <t>1120675</t>
  </si>
  <si>
    <t>ACN1-113-0248</t>
  </si>
  <si>
    <t>RSUYQ125AVT</t>
  </si>
  <si>
    <t>ACN1-113-0249</t>
  </si>
  <si>
    <t>RSUYQ140AVT</t>
  </si>
  <si>
    <t>ACN1-113-0250</t>
  </si>
  <si>
    <t>RSUYQ160AVT</t>
  </si>
  <si>
    <t>1121</t>
  </si>
  <si>
    <t>1120</t>
  </si>
  <si>
    <t>ACN1-113-0251</t>
  </si>
  <si>
    <t>RXYMQ6TVET</t>
  </si>
  <si>
    <t>CI3A2261861768</t>
  </si>
  <si>
    <t>ACS20160671</t>
  </si>
  <si>
    <t>106424</t>
  </si>
  <si>
    <t>ACN1-113-0357</t>
  </si>
  <si>
    <t>RXYMQ8TYLT</t>
  </si>
  <si>
    <t>CI3A2261861859</t>
  </si>
  <si>
    <t>ACS20160672</t>
  </si>
  <si>
    <t>ACN1-113-0359</t>
  </si>
  <si>
    <t>RXYMQ10TYLT</t>
  </si>
  <si>
    <t>ACN1-113-0358</t>
  </si>
  <si>
    <t>REYQ20BYLT</t>
  </si>
  <si>
    <t>CI3A4261862324</t>
  </si>
  <si>
    <t>ACT20240697</t>
  </si>
  <si>
    <t>ACN1-114-0581</t>
  </si>
  <si>
    <t>REYQ16BYLT</t>
  </si>
  <si>
    <t>CI3A4261862335</t>
  </si>
  <si>
    <t>ACT20240698</t>
  </si>
  <si>
    <t>1140793</t>
  </si>
  <si>
    <t>ACN1-114-0580</t>
  </si>
  <si>
    <t>REYQ12BYLT</t>
  </si>
  <si>
    <t>CI3A4261862346</t>
  </si>
  <si>
    <t>ACT20240696</t>
  </si>
  <si>
    <t>ACN1-114-1006</t>
  </si>
  <si>
    <t>RXQ8AYLT</t>
  </si>
  <si>
    <t>CI3A1261861648</t>
  </si>
  <si>
    <t>ACT20200558</t>
  </si>
  <si>
    <t>5320</t>
  </si>
  <si>
    <t>1820</t>
  </si>
  <si>
    <t>1760</t>
  </si>
  <si>
    <t>1110286</t>
  </si>
  <si>
    <t>ACN1-113-0246</t>
  </si>
  <si>
    <t>RXQ14AYLT</t>
  </si>
  <si>
    <t>CI3A1261861659</t>
  </si>
  <si>
    <t>ACT20200559</t>
  </si>
  <si>
    <t>ACN1-113-0279</t>
  </si>
  <si>
    <t>RXQ10AYLT</t>
  </si>
  <si>
    <t>CI3A2261861791</t>
  </si>
  <si>
    <t>ACS20200463</t>
  </si>
  <si>
    <t>1100460</t>
  </si>
  <si>
    <t>ACN1-113-0242</t>
  </si>
  <si>
    <t>RXQ12AYLT</t>
  </si>
  <si>
    <t>ACT20190481</t>
  </si>
  <si>
    <t>1090292</t>
  </si>
  <si>
    <t>ACN1-113-0243</t>
  </si>
  <si>
    <t>RXQ16AYLT</t>
  </si>
  <si>
    <t>CI3A2261861804</t>
  </si>
  <si>
    <t>ACT20190482</t>
  </si>
  <si>
    <t>ACN1-113-0244</t>
  </si>
  <si>
    <t>RXQ18AYLT</t>
  </si>
  <si>
    <t>CI3A2261861815</t>
  </si>
  <si>
    <t>ACS20200464</t>
  </si>
  <si>
    <t>ACN1-113-0241</t>
  </si>
  <si>
    <t>RXQ20AYLT</t>
  </si>
  <si>
    <t>ACT20190483</t>
  </si>
  <si>
    <t>ACN1-113-0245</t>
  </si>
  <si>
    <t>RXYQ10AYLT</t>
  </si>
  <si>
    <t>CI3A2261861939</t>
  </si>
  <si>
    <t>ACT20190061</t>
  </si>
  <si>
    <t>1090725</t>
  </si>
  <si>
    <t>ACN1-113-0217</t>
  </si>
  <si>
    <t>RXYQ12AYLT</t>
  </si>
  <si>
    <t>ACN1-113-0218</t>
  </si>
  <si>
    <t>RXYQ14AYLT</t>
  </si>
  <si>
    <t>CI3A2261861940</t>
  </si>
  <si>
    <t>ACT20190286</t>
  </si>
  <si>
    <t>ACN1-113-0215</t>
  </si>
  <si>
    <t>RXYQ8AYLT</t>
  </si>
  <si>
    <t>CI3A2261861951</t>
  </si>
  <si>
    <t>ACT20190060</t>
  </si>
  <si>
    <t>ACN1-113-0216</t>
  </si>
  <si>
    <t>RXYQ18AYLT</t>
  </si>
  <si>
    <t>CI3A2261861962</t>
  </si>
  <si>
    <t>ACT20190301</t>
  </si>
  <si>
    <t>ACN1-113-0212</t>
  </si>
  <si>
    <t>RXYQ20AYLT</t>
  </si>
  <si>
    <t>ACN1-113-0213</t>
  </si>
  <si>
    <t>RXYQ16AYLT</t>
  </si>
  <si>
    <t>CI3A2261861970</t>
  </si>
  <si>
    <t>ACT20190300</t>
  </si>
  <si>
    <t>ACN1-113-0214</t>
  </si>
  <si>
    <t>RXYQ16PTLT</t>
  </si>
  <si>
    <t>CI3A2261861981</t>
  </si>
  <si>
    <t>ACT20230016</t>
  </si>
  <si>
    <t>ACN1-113-0360</t>
  </si>
  <si>
    <t>RXYQ14PTLT</t>
  </si>
  <si>
    <t>CI3A3261862044</t>
  </si>
  <si>
    <t>ACT20230015</t>
  </si>
  <si>
    <t>ACN1-113-0363</t>
  </si>
  <si>
    <t>RXYQ8PTLT</t>
  </si>
  <si>
    <t>CI3A3261862055</t>
  </si>
  <si>
    <t>ACT20230012</t>
  </si>
  <si>
    <t>ACN1-113-0364</t>
  </si>
  <si>
    <t>RXYQ12PTLT</t>
  </si>
  <si>
    <t>CI3A3261862066</t>
  </si>
  <si>
    <t>ACT20230014</t>
  </si>
  <si>
    <t>ACN1-113-0368</t>
  </si>
  <si>
    <t>RXYQ10PTLT</t>
  </si>
  <si>
    <t>CI3A3261862124</t>
  </si>
  <si>
    <t>ACT20230013</t>
  </si>
  <si>
    <t>ACN1-113-0362</t>
  </si>
  <si>
    <t>RXYCQ6AVET</t>
  </si>
  <si>
    <t>CI3A2261861917</t>
  </si>
  <si>
    <t>ACS20160321</t>
  </si>
  <si>
    <t>1120609</t>
  </si>
  <si>
    <t>ACN1-113-0282</t>
  </si>
  <si>
    <t>RXYCQ5AVET</t>
  </si>
  <si>
    <t>ACN1-113-0281</t>
  </si>
  <si>
    <t>RXYCQ4AVET</t>
  </si>
  <si>
    <t>CI3A2261861928</t>
  </si>
  <si>
    <t>ACS20160320</t>
  </si>
  <si>
    <t>ACN1-113-0280</t>
  </si>
  <si>
    <t>RQYQ10TYLT</t>
  </si>
  <si>
    <t>CI3A2261861677</t>
  </si>
  <si>
    <t>ACS20170566</t>
  </si>
  <si>
    <t>1120416</t>
  </si>
  <si>
    <t>ACN1-113-0093</t>
  </si>
  <si>
    <t>RQYQ16TYLT</t>
  </si>
  <si>
    <t>CI3A2261861688</t>
  </si>
  <si>
    <t>ACS20170565</t>
  </si>
  <si>
    <t>ACN1-113-0094</t>
  </si>
  <si>
    <t>RXYMQ10ARYLT</t>
  </si>
  <si>
    <t>CI3A3261862146</t>
  </si>
  <si>
    <t>ACT20230688</t>
  </si>
  <si>
    <t>1140164</t>
  </si>
  <si>
    <t>ACN1-113-0283</t>
  </si>
  <si>
    <t>RXYMQ12ARYLT</t>
  </si>
  <si>
    <t>CI3A3261862157</t>
  </si>
  <si>
    <t>ACT20230689</t>
  </si>
  <si>
    <t>ACN1-113-0284</t>
  </si>
  <si>
    <t>RXYMQ8TTLT</t>
  </si>
  <si>
    <t>CI3A2261861826</t>
  </si>
  <si>
    <t>ACT20170236</t>
  </si>
  <si>
    <t>10806893</t>
  </si>
  <si>
    <t>ACN1-113-0373</t>
  </si>
  <si>
    <t>RXYMQ10TTLT</t>
  </si>
  <si>
    <t>ACN1-113-0372</t>
  </si>
  <si>
    <t>RXYCQ6BVLT</t>
  </si>
  <si>
    <t>CI3A4261862368</t>
  </si>
  <si>
    <t>ACT20250502</t>
  </si>
  <si>
    <t>ACN1-114-2533</t>
  </si>
  <si>
    <t>RXYCQ5BVLT</t>
  </si>
  <si>
    <t>ACN1-114-2531</t>
  </si>
  <si>
    <t>RXYCQ4BVLT</t>
  </si>
  <si>
    <t>ACN1-114-2532</t>
  </si>
  <si>
    <t>RWEYQ6TYLT</t>
  </si>
  <si>
    <t>CI3A2261862037</t>
  </si>
  <si>
    <t>ACT20220950</t>
  </si>
  <si>
    <t>1140163</t>
  </si>
  <si>
    <t>ACN1-113-0291</t>
  </si>
  <si>
    <t>RWEYQ8TYLT</t>
  </si>
  <si>
    <t>1140792</t>
  </si>
  <si>
    <t>ACN1-113-0292</t>
  </si>
  <si>
    <t>RWEYQ10TYLT</t>
  </si>
  <si>
    <t>ACN1-113-0289</t>
  </si>
  <si>
    <t>RWEYQ12TYLT</t>
  </si>
  <si>
    <t>ACN1-113-0290</t>
  </si>
  <si>
    <t>RXV80XVLT</t>
  </si>
  <si>
    <t>FTXV80XVLT</t>
  </si>
  <si>
    <t>CI3A2561861744</t>
  </si>
  <si>
    <t>2206021-S</t>
  </si>
  <si>
    <t>1120417</t>
  </si>
  <si>
    <t>ACN1-113-0259</t>
  </si>
  <si>
    <t>RXV90XVLT</t>
  </si>
  <si>
    <t>FTXV90XVLT</t>
  </si>
  <si>
    <t>ACN1-113-0260</t>
  </si>
  <si>
    <t>RZF71CVLT</t>
  </si>
  <si>
    <t>CI3A8161861185</t>
  </si>
  <si>
    <t>22-06-VAA-021</t>
  </si>
  <si>
    <t>ACN1-113-0143</t>
  </si>
  <si>
    <t>RZF100CTLT</t>
  </si>
  <si>
    <t>CI3A9161861374</t>
  </si>
  <si>
    <t>23-01-VAA-007</t>
  </si>
  <si>
    <t>ACN1-113-0142</t>
  </si>
  <si>
    <t>RZF125CTLT</t>
  </si>
  <si>
    <t>RZF140CTLT</t>
  </si>
  <si>
    <t>RXV60UVLT</t>
  </si>
  <si>
    <t>FTXV60UVLT</t>
  </si>
  <si>
    <t>CI3A8161861221</t>
  </si>
  <si>
    <t>19-07-VAA-085</t>
  </si>
  <si>
    <t>1090291</t>
  </si>
  <si>
    <t>ACN1-113-0211</t>
  </si>
  <si>
    <t>RXV22SAVLT</t>
  </si>
  <si>
    <t>FTXV22SAVLT</t>
  </si>
  <si>
    <t>CI3A8161861196</t>
  </si>
  <si>
    <t>23-04-VAA-007</t>
  </si>
  <si>
    <t>1130508</t>
  </si>
  <si>
    <t>ACN1-113-0198</t>
  </si>
  <si>
    <t>RXV28SAVLT</t>
  </si>
  <si>
    <t>FTXV28SAVLT</t>
  </si>
  <si>
    <t>ACN1-113-0199</t>
  </si>
  <si>
    <t>RXV36SAVLT</t>
  </si>
  <si>
    <t>FTXV36SAVLT</t>
  </si>
  <si>
    <t>CI3A9161861385</t>
  </si>
  <si>
    <t>23-04-VAA-008</t>
  </si>
  <si>
    <t>ACN1-113-0200</t>
  </si>
  <si>
    <t>RXV41SAVLT</t>
  </si>
  <si>
    <t>FTXV41SAVLT</t>
  </si>
  <si>
    <t>CI3A8161861210</t>
  </si>
  <si>
    <t>23-04-VAA-005</t>
  </si>
  <si>
    <t>ACN1-113-0201</t>
  </si>
  <si>
    <t>RXV41UVLT</t>
  </si>
  <si>
    <t>FTXV41UVLT</t>
  </si>
  <si>
    <t>19-07-VAA-084</t>
  </si>
  <si>
    <t>ACN1-113-0209</t>
  </si>
  <si>
    <t>RXV50SAVLT</t>
  </si>
  <si>
    <t>FTXV50SAVLT</t>
  </si>
  <si>
    <t>ACN1-113-0202</t>
  </si>
  <si>
    <t>RXV50UVLT</t>
  </si>
  <si>
    <t>FTXV50UVLT</t>
  </si>
  <si>
    <t>ACN1-113-0210</t>
  </si>
  <si>
    <t>RXV22XVLT</t>
  </si>
  <si>
    <t>FTXV22XVLT</t>
  </si>
  <si>
    <t>CI3A2561861697</t>
  </si>
  <si>
    <t>2206016-S</t>
  </si>
  <si>
    <t>1120415</t>
  </si>
  <si>
    <t>ACN1-113-0252</t>
  </si>
  <si>
    <t>RXV28XVLT</t>
  </si>
  <si>
    <t>FTXV28XVLT</t>
  </si>
  <si>
    <t>ACN1-113-0253</t>
  </si>
  <si>
    <t>RXV36XVLT</t>
  </si>
  <si>
    <t>FTXV36XVLT</t>
  </si>
  <si>
    <t>CI3A2561861700</t>
  </si>
  <si>
    <t>2206017-S</t>
  </si>
  <si>
    <t>ACN1-113-0254</t>
  </si>
  <si>
    <t>RXV41XVLT</t>
  </si>
  <si>
    <t>FTXV41XVLT</t>
  </si>
  <si>
    <t>CI3A2561861711</t>
  </si>
  <si>
    <t>2206018-S</t>
  </si>
  <si>
    <t>ACN1-113-0255</t>
  </si>
  <si>
    <t>RXV50XVLT</t>
  </si>
  <si>
    <t>FTXV50XVLT</t>
  </si>
  <si>
    <t>ACN1-113-0256</t>
  </si>
  <si>
    <t>RXV60XVLT</t>
  </si>
  <si>
    <t>FTXV60XVLT</t>
  </si>
  <si>
    <t>C13A2561861722</t>
  </si>
  <si>
    <t>2206019-S</t>
  </si>
  <si>
    <t>ACN1-113-0257</t>
  </si>
  <si>
    <t>RXV71XVLT</t>
  </si>
  <si>
    <t>FTXV71XVLT</t>
  </si>
  <si>
    <t>C13A2561861755</t>
  </si>
  <si>
    <t>2206020-S</t>
  </si>
  <si>
    <t>ACN1-113-0258</t>
  </si>
  <si>
    <t>CI3A9261861236</t>
  </si>
  <si>
    <t>2023/01/16</t>
  </si>
  <si>
    <t>未配對室內機：FXCQ20MVET、FXCQ25MVET、FXCQ32MVET、FXCQ40MVET、FXCQ50MVET、FXCQ63MVET、FXCQ80MVET、FXCQ125MVET、FXFQ25PVET、FXFQ32PVET、FXFQ40PVET、FXFQ50PVET、FXFQ63PVET、FXFQ80PVET、FXFQ100PVET、FXFQ125PVET、FXZQ20MVET、FXZQ25MVET、FXZQ32MVET、FXZQ40MVET、FXZQ50MVET、FXDQ20PBVT、FXDQ25PBVT、FXDQ32PBVT、FXDQ20PBNVT、FXDQ25PBNVT、FXDQ32PBNVT、FXDQ40NBVT、FXDQ50NBVT、FXDQ63NBVT、FXDQ40NBNVT、FXDQ50NBNVT、FXDQ63NBNVT、FXHQ32MVET、FXHQ63MVET、FXHQ100MVET、FXAQ20MAVET、FXAQ25MAVET、FXAQ32MAVET、FXAQ40MAVET、FXAQ50MAVET、FXAQ63MAVET、FXMQ20PVET、FXMQ25PVET、FXMQ32PVET、FXMQ40PVET、FXMQ50PVET、FXMQ63PVET、FXMQ80PVET、FXMQ100PVET、FXMQ125PVET、FXMQ140PVET、FXVQ125MTLT、FTXS20KVLT、FTXS25KVLT、FTXS30KVLT、CTXS30KVLT、FTXS40JVLT、CTXS50JVLT、CTXS60JVLT、CTXS70JVLT、CDXS25EAVMT、CDXS30JVLT、CDXS40JVLT、CDXS50DVMT、CDXS60DVMT、FXMQ200MVET、FXMQ250MVET、FXVQ200MTLT、FXVQ250MTLT</t>
  </si>
  <si>
    <t>額定冷氣能力</t>
  </si>
  <si>
    <t>中間冷氣能力</t>
  </si>
  <si>
    <t>額定消耗功率</t>
  </si>
  <si>
    <t>額定中間消耗功率</t>
  </si>
  <si>
    <t>效率等級</t>
  </si>
  <si>
    <t>商品驗證登錄證書URL</t>
  </si>
  <si>
    <t>節能標章
證書編號
URL</t>
  </si>
  <si>
    <t>安規報告書URL</t>
  </si>
  <si>
    <t>能源效率分級URL</t>
  </si>
  <si>
    <t>商品驗證登錄證書 — 即將到期（90天內）</t>
  </si>
  <si>
    <t>節能標章 — 即將到期（90天內）</t>
  </si>
  <si>
    <t>圖表資料（自動計算）</t>
  </si>
  <si>
    <t>商品驗證 各類別</t>
  </si>
  <si>
    <t>節能標章 各類別</t>
  </si>
  <si>
    <t>有效張數（去重）</t>
  </si>
  <si>
    <t>合計</t>
  </si>
  <si>
    <t>每半年到期件數（合併）</t>
  </si>
  <si>
    <t>期間</t>
  </si>
  <si>
    <t>商品驗證</t>
  </si>
  <si>
    <t>節能標章</t>
  </si>
  <si>
    <t>能效分級統計（AG欄）</t>
  </si>
  <si>
    <t>1級</t>
  </si>
  <si>
    <t>2級</t>
  </si>
  <si>
    <t>3級</t>
  </si>
  <si>
    <t>節能標章取得百分比（AE/C）</t>
  </si>
  <si>
    <t>有效型號(C)</t>
  </si>
  <si>
    <t>取得標章(AE)</t>
  </si>
  <si>
    <t>取得率</t>
  </si>
  <si>
    <t>CSPF 分布（Z欄 X/Y）</t>
  </si>
  <si>
    <t>比值</t>
  </si>
  <si>
    <t>95%</t>
  </si>
  <si>
    <t>96%</t>
  </si>
  <si>
    <t>97%</t>
  </si>
  <si>
    <t>98%</t>
  </si>
  <si>
    <t>99%</t>
  </si>
  <si>
    <t>100%</t>
  </si>
  <si>
    <t>101%</t>
  </si>
  <si>
    <t>102%</t>
  </si>
  <si>
    <t>103%</t>
  </si>
  <si>
    <t>104%</t>
  </si>
  <si>
    <t>105%</t>
  </si>
  <si>
    <t>&gt;106%</t>
  </si>
  <si>
    <t>📌  建圖步驟</t>
  </si>
  <si>
    <t>① 商品驗證 環圈圖：選取 A4:B8 → 插入 → 圓形圖 → 環圈圖</t>
  </si>
  <si>
    <t>② 節能標章 環圈圖：選取 D4:E8 → 插入 → 圓形圖 → 環圈圖</t>
  </si>
  <si>
    <t>③ 合併直條圖：先選 A12:B18，按Ctrl再加選 D12:D18 → 插入 → 群組直條圖</t>
  </si>
  <si>
    <t>④ 能效分級 群組直條圖：選取 G21:K25 → 插入 → 群組直條圖</t>
  </si>
  <si>
    <t>⑤ 節能取得率 環圈圖：選取 G28:J32 → 插入 → 環圈圖</t>
  </si>
  <si>
    <t>⑥ CSPF分布 群組直條圖：選取 G35:K46 → 插入 → 群組直條圖</t>
  </si>
  <si>
    <t>⑦ 各圖建好後剪下，貼到 Dashboard 對應的「貼圖區」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</si>
</sst>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yyyy/mm/dd"/>
    <numFmt numFmtId="177" formatCode="0.000%"/>
    <numFmt numFmtId="178" formatCode="0_ ;[Red]\-0\ "/>
    <numFmt numFmtId="179" formatCode="0.000_);[Red]\(0.000\)"/>
    <numFmt numFmtId="180" formatCode="0.000_ "/>
    <numFmt numFmtId="181" formatCode="0.0000_ "/>
    <numFmt numFmtId="182" formatCode="#,##0.000_ "/>
    <numFmt numFmtId="183" formatCode="0.00_ "/>
    <numFmt numFmtId="184" formatCode="0.0_ "/>
    <numFmt numFmtId="185" formatCode="0.00_);[Red]\(0.00\)"/>
    <numFmt numFmtId="186" formatCode="0_ "/>
    <numFmt numFmtId="187" formatCode="0_);[Red]\(0\)"/>
    <numFmt numFmtId="188" formatCode="#,##0.000"/>
    <numFmt numFmtId="189" formatCode="0.0_);[Red]\(0.0\)"/>
    <numFmt numFmtId="190" formatCode="yyyy/m/d;@"/>
    <numFmt numFmtId="191" formatCode="0.0%"/>
  </numFmts>
  <fonts count="55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rgb="FF00B0F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10"/>
      <name val="Microsoft JhengHei Light"/>
      <family val="2"/>
      <charset val="136"/>
    </font>
    <font>
      <sz val="10"/>
      <color theme="1"/>
      <name val="Microsoft JhengHei Light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b/>
      <sz val="11"/>
      <color rgb="FFFFFFFF"/>
      <name val="Calibri"/>
      <family val="2"/>
    </font>
    <font>
      <b/>
      <sz val="10"/>
      <color rgb="FF4A5568"/>
      <name val="Calibri"/>
      <family val="2"/>
    </font>
    <font>
      <sz val="9"/>
      <color rgb="FF8896A8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4A5568"/>
      <name val="Calibri"/>
      <family val="2"/>
    </font>
    <font>
      <sz val="10"/>
      <color rgb="FF1A1A2E"/>
      <name val="Calibri"/>
      <family val="2"/>
    </font>
    <font>
      <b/>
      <sz val="11"/>
      <color rgb="FF1A1A2E"/>
      <name val="Calibri"/>
      <family val="2"/>
    </font>
    <font>
      <b/>
      <sz val="9"/>
      <color rgb="FFFFFFFF"/>
      <name val="Calibri"/>
      <family val="2"/>
    </font>
    <font>
      <b/>
      <sz val="11"/>
      <color rgb="FF3D5A9E"/>
      <name val="Calibri"/>
      <family val="2"/>
    </font>
    <font>
      <b/>
      <sz val="11"/>
      <color rgb="FF27AE60"/>
      <name val="Calibri"/>
      <family val="2"/>
    </font>
    <font>
      <b/>
      <sz val="9"/>
      <color rgb="FF27AE60"/>
      <name val="Calibri"/>
      <family val="2"/>
    </font>
    <font>
      <b/>
      <sz val="11"/>
      <color rgb="FF2ECC71"/>
      <name val="Calibri"/>
      <family val="2"/>
    </font>
    <font>
      <b/>
      <sz val="11"/>
      <color rgb="FFF39C12"/>
      <name val="Calibri"/>
      <family val="2"/>
    </font>
    <font>
      <b/>
      <sz val="11"/>
      <color rgb="FF3498DB"/>
      <name val="Calibri"/>
      <family val="2"/>
    </font>
    <font>
      <b/>
      <sz val="11"/>
      <color rgb="FF9B59B6"/>
      <name val="Calibri"/>
      <family val="2"/>
    </font>
    <font>
      <b/>
      <sz val="9"/>
      <color rgb="FF2ECC71"/>
      <name val="Calibri"/>
      <family val="2"/>
    </font>
    <font>
      <b/>
      <sz val="9"/>
      <color rgb="FFF39C12"/>
      <name val="Calibri"/>
      <family val="2"/>
    </font>
    <font>
      <b/>
      <sz val="9"/>
      <color rgb="FF3498DB"/>
      <name val="Calibri"/>
      <family val="2"/>
    </font>
    <font>
      <b/>
      <sz val="9"/>
      <color rgb="FF9B59B6"/>
      <name val="Calibri"/>
      <family val="2"/>
    </font>
    <font>
      <b/>
      <sz val="10"/>
      <color rgb="FF1A1A2E"/>
      <name val="Calibri"/>
      <family val="2"/>
    </font>
    <font>
      <sz val="9"/>
      <color rgb="FF1A1A2E"/>
      <name val="Calibri"/>
      <family val="2"/>
    </font>
    <font>
      <b/>
      <sz val="9"/>
      <color rgb="FF856404"/>
      <name val="Calibri"/>
      <family val="2"/>
    </font>
    <font>
      <b/>
      <sz val="8"/>
      <color rgb="FF4A5568"/>
      <name val="Calibri"/>
      <family val="2"/>
    </font>
    <font>
      <b/>
      <sz val="9"/>
      <color rgb="FFE74C3C"/>
      <name val="Calibri"/>
      <family val="2"/>
    </font>
    <font>
      <sz val="9"/>
      <color rgb="FF3D5A9E"/>
      <name val="Calibri"/>
      <family val="2"/>
    </font>
    <font>
      <b/>
      <sz val="9"/>
      <color rgb="FF1B5E20"/>
      <name val="Calibri"/>
      <family val="2"/>
    </font>
    <font>
      <sz val="9"/>
      <color rgb="FF27AE60"/>
      <name val="Calibri"/>
      <family val="2"/>
    </font>
    <font>
      <sz val="9"/>
      <color rgb="FF8E44AD"/>
      <name val="Calibri"/>
      <family val="2"/>
    </font>
    <font>
      <sz val="9"/>
      <color rgb="FFE67E22"/>
      <name val="Calibri"/>
      <family val="2"/>
    </font>
    <font>
      <i/>
      <sz val="8"/>
      <color rgb="FF8896A8"/>
      <name val="Calibri"/>
      <family val="2"/>
    </font>
    <font>
      <sz val="36"/>
      <name val="Microsoft JhengHei Light"/>
      <family val="2"/>
      <charset val="136"/>
    </font>
    <font>
      <sz val="16"/>
      <name val="Microsoft JhengHei Light"/>
      <family val="2"/>
      <charset val="136"/>
    </font>
    <font>
      <sz val="18"/>
      <name val="Microsoft JhengHei Light"/>
      <family val="2"/>
      <charset val="136"/>
    </font>
    <font>
      <b/>
      <sz val="9"/>
      <color rgb="FF3D5A9E"/>
      <name val="微軟正黑體"/>
      <family val="2"/>
      <charset val="136"/>
    </font>
    <font>
      <b/>
      <sz val="9"/>
      <color rgb="FF27AE60"/>
      <name val="微軟正黑體"/>
      <family val="2"/>
      <charset val="136"/>
    </font>
    <font>
      <sz val="30"/>
      <name val="Microsoft JhengHei Light"/>
      <family val="2"/>
      <charset val="136"/>
    </font>
    <font>
      <sz val="30"/>
      <color theme="1"/>
      <name val="Microsoft JhengHei Light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FD8FF"/>
        <bgColor indexed="64"/>
      </patternFill>
    </fill>
    <fill>
      <patternFill patternType="solid">
        <fgColor rgb="FFC4F4C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C3E6B"/>
      </patternFill>
    </fill>
    <fill>
      <patternFill patternType="solid">
        <fgColor rgb="FFE8ECF4"/>
      </patternFill>
    </fill>
    <fill>
      <patternFill patternType="solid">
        <fgColor rgb="FF27AE6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3D5A9E"/>
      </patternFill>
    </fill>
    <fill>
      <patternFill patternType="solid">
        <fgColor rgb="FFE8F0FE"/>
      </patternFill>
    </fill>
    <fill>
      <patternFill patternType="solid">
        <fgColor rgb="FF8E44AD"/>
      </patternFill>
    </fill>
    <fill>
      <patternFill patternType="solid">
        <fgColor rgb="FFEDE9F7"/>
      </patternFill>
    </fill>
    <fill>
      <patternFill patternType="solid">
        <fgColor rgb="FFF8F9FA"/>
      </patternFill>
    </fill>
    <fill>
      <patternFill patternType="solid">
        <fgColor rgb="FFE67E22"/>
      </patternFill>
    </fill>
    <fill>
      <patternFill patternType="solid">
        <fgColor rgb="FFFEF3E2"/>
      </patternFill>
    </fill>
    <fill>
      <patternFill patternType="solid">
        <fgColor rgb="FFF8FAFC"/>
      </patternFill>
    </fill>
    <fill>
      <patternFill patternType="solid">
        <fgColor rgb="FFFFFDE7"/>
      </patternFill>
    </fill>
    <fill>
      <patternFill patternType="solid">
        <fgColor rgb="FFF0F2F5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2ECC71"/>
      </left>
      <right/>
      <top/>
      <bottom/>
      <diagonal/>
    </border>
    <border>
      <left style="thick">
        <color rgb="FFF39C12"/>
      </left>
      <right/>
      <top/>
      <bottom/>
      <diagonal/>
    </border>
    <border>
      <left style="thick">
        <color rgb="FF3498DB"/>
      </left>
      <right/>
      <top/>
      <bottom/>
      <diagonal/>
    </border>
    <border>
      <left style="thick">
        <color rgb="FF9B59B6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37">
    <xf numFmtId="0" fontId="0" fillId="0" borderId="0" xfId="0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4" fillId="0" borderId="6" xfId="2" applyFont="1" applyBorder="1" applyAlignment="1">
      <alignment horizontal="justify"/>
    </xf>
    <xf numFmtId="0" fontId="1" fillId="0" borderId="6" xfId="0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6" xfId="2" applyFont="1" applyBorder="1" applyAlignment="1">
      <alignment horizontal="left" vertical="center"/>
    </xf>
    <xf numFmtId="0" fontId="4" fillId="0" borderId="6" xfId="2" applyFont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2" fillId="0" borderId="6" xfId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2" fontId="1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vertical="center"/>
    </xf>
    <xf numFmtId="0" fontId="0" fillId="0" borderId="6" xfId="0" applyBorder="1" applyAlignment="1">
      <alignment horizontal="center"/>
    </xf>
    <xf numFmtId="0" fontId="6" fillId="0" borderId="6" xfId="2" applyFont="1" applyBorder="1" applyAlignment="1">
      <alignment vertical="center"/>
    </xf>
    <xf numFmtId="0" fontId="0" fillId="0" borderId="6" xfId="0" applyBorder="1" applyAlignment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1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left"/>
    </xf>
    <xf numFmtId="0" fontId="4" fillId="4" borderId="4" xfId="2" applyFont="1" applyFill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4" xfId="2" applyFont="1" applyBorder="1" applyAlignment="1">
      <alignment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14" fontId="4" fillId="0" borderId="6" xfId="2" applyNumberFormat="1" applyFont="1" applyBorder="1" applyAlignment="1">
      <alignment vertical="center"/>
    </xf>
    <xf numFmtId="0" fontId="15" fillId="0" borderId="1" xfId="2" applyFont="1" applyBorder="1" applyAlignment="1">
      <alignment horizontal="center" vertical="center" wrapText="1"/>
    </xf>
    <xf numFmtId="0" fontId="15" fillId="5" borderId="4" xfId="2" applyFont="1" applyFill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5" fillId="7" borderId="1" xfId="2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5" fillId="0" borderId="0" xfId="2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0" fontId="15" fillId="6" borderId="14" xfId="2" applyFont="1" applyFill="1" applyBorder="1" applyAlignment="1">
      <alignment horizontal="center" vertical="center" wrapText="1"/>
    </xf>
    <xf numFmtId="0" fontId="15" fillId="6" borderId="15" xfId="2" applyFont="1" applyFill="1" applyBorder="1" applyAlignment="1">
      <alignment horizontal="center" vertical="center" wrapText="1"/>
    </xf>
    <xf numFmtId="0" fontId="0" fillId="24" borderId="0" xfId="0" applyFill="1" applyAlignment="1"/>
    <xf numFmtId="0" fontId="18" fillId="11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3" fillId="14" borderId="17" xfId="0" applyFont="1" applyFill="1" applyBorder="1" applyAlignment="1">
      <alignment horizontal="left" vertical="center"/>
    </xf>
    <xf numFmtId="1" fontId="24" fillId="14" borderId="0" xfId="0" applyNumberFormat="1" applyFont="1" applyFill="1" applyAlignment="1">
      <alignment horizontal="center" vertical="center"/>
    </xf>
    <xf numFmtId="0" fontId="23" fillId="14" borderId="18" xfId="0" applyFont="1" applyFill="1" applyBorder="1" applyAlignment="1">
      <alignment horizontal="left" vertical="center"/>
    </xf>
    <xf numFmtId="0" fontId="23" fillId="14" borderId="19" xfId="0" applyFont="1" applyFill="1" applyBorder="1" applyAlignment="1">
      <alignment horizontal="left" vertical="center"/>
    </xf>
    <xf numFmtId="0" fontId="23" fillId="14" borderId="20" xfId="0" applyFont="1" applyFill="1" applyBorder="1" applyAlignment="1">
      <alignment horizontal="left" vertical="center"/>
    </xf>
    <xf numFmtId="0" fontId="25" fillId="15" borderId="0" xfId="0" applyFont="1" applyFill="1" applyAlignment="1">
      <alignment horizontal="center" vertical="center"/>
    </xf>
    <xf numFmtId="1" fontId="26" fillId="16" borderId="0" xfId="0" applyNumberFormat="1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1" fontId="27" fillId="13" borderId="0" xfId="0" applyNumberFormat="1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1" fontId="26" fillId="14" borderId="0" xfId="0" applyNumberFormat="1" applyFont="1" applyFill="1" applyAlignment="1">
      <alignment horizontal="center" vertical="center"/>
    </xf>
    <xf numFmtId="1" fontId="27" fillId="14" borderId="0" xfId="0" applyNumberFormat="1" applyFont="1" applyFill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1" fontId="24" fillId="19" borderId="0" xfId="0" applyNumberFormat="1" applyFont="1" applyFill="1" applyAlignment="1">
      <alignment horizontal="center" vertical="center"/>
    </xf>
    <xf numFmtId="1" fontId="30" fillId="14" borderId="0" xfId="0" applyNumberFormat="1" applyFont="1" applyFill="1" applyAlignment="1">
      <alignment horizontal="center" vertical="center"/>
    </xf>
    <xf numFmtId="1" fontId="31" fillId="14" borderId="0" xfId="0" applyNumberFormat="1" applyFont="1" applyFill="1" applyAlignment="1">
      <alignment horizontal="center" vertical="center"/>
    </xf>
    <xf numFmtId="1" fontId="32" fillId="14" borderId="0" xfId="0" applyNumberFormat="1" applyFont="1" applyFill="1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0" fontId="34" fillId="21" borderId="0" xfId="0" applyFont="1" applyFill="1" applyAlignment="1">
      <alignment horizontal="center" vertical="center"/>
    </xf>
    <xf numFmtId="0" fontId="35" fillId="21" borderId="0" xfId="0" applyFont="1" applyFill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1" fontId="29" fillId="22" borderId="0" xfId="0" applyNumberFormat="1" applyFont="1" applyFill="1" applyAlignment="1">
      <alignment horizontal="center" vertical="center"/>
    </xf>
    <xf numFmtId="1" fontId="30" fillId="22" borderId="0" xfId="0" applyNumberFormat="1" applyFont="1" applyFill="1" applyAlignment="1">
      <alignment horizontal="center" vertical="center"/>
    </xf>
    <xf numFmtId="1" fontId="31" fillId="22" borderId="0" xfId="0" applyNumberFormat="1" applyFont="1" applyFill="1" applyAlignment="1">
      <alignment horizontal="center" vertical="center"/>
    </xf>
    <xf numFmtId="1" fontId="32" fillId="22" borderId="0" xfId="0" applyNumberFormat="1" applyFont="1" applyFill="1" applyAlignment="1">
      <alignment horizontal="center" vertical="center"/>
    </xf>
    <xf numFmtId="0" fontId="0" fillId="25" borderId="0" xfId="0" applyFill="1" applyAlignment="1"/>
    <xf numFmtId="0" fontId="10" fillId="8" borderId="0" xfId="0" applyFont="1" applyFill="1" applyAlignment="1"/>
    <xf numFmtId="1" fontId="48" fillId="8" borderId="0" xfId="0" applyNumberFormat="1" applyFont="1" applyFill="1" applyAlignment="1"/>
    <xf numFmtId="0" fontId="49" fillId="8" borderId="0" xfId="0" applyFont="1" applyFill="1" applyAlignment="1"/>
    <xf numFmtId="0" fontId="42" fillId="8" borderId="0" xfId="0" applyFont="1" applyFill="1" applyAlignment="1">
      <alignment vertical="center" wrapText="1"/>
    </xf>
    <xf numFmtId="0" fontId="41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vertical="center" wrapText="1"/>
    </xf>
    <xf numFmtId="0" fontId="0" fillId="8" borderId="0" xfId="0" applyFill="1" applyAlignment="1">
      <alignment vertical="center"/>
    </xf>
    <xf numFmtId="0" fontId="51" fillId="11" borderId="0" xfId="0" applyFont="1" applyFill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0" fontId="45" fillId="8" borderId="0" xfId="0" applyFont="1" applyFill="1" applyAlignment="1">
      <alignment vertical="center" wrapText="1"/>
    </xf>
    <xf numFmtId="1" fontId="0" fillId="0" borderId="0" xfId="0" applyNumberFormat="1" applyAlignment="1"/>
    <xf numFmtId="9" fontId="0" fillId="0" borderId="0" xfId="0" applyNumberFormat="1" applyAlignment="1"/>
    <xf numFmtId="0" fontId="15" fillId="0" borderId="6" xfId="0" applyFont="1" applyBorder="1" applyAlignment="1">
      <alignment horizontal="right" vertical="center"/>
    </xf>
    <xf numFmtId="3" fontId="13" fillId="0" borderId="6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/>
    </xf>
    <xf numFmtId="0" fontId="13" fillId="0" borderId="6" xfId="0" applyFont="1" applyBorder="1" applyAlignment="1">
      <alignment horizontal="right" vertical="top"/>
    </xf>
    <xf numFmtId="14" fontId="13" fillId="0" borderId="6" xfId="0" applyNumberFormat="1" applyFont="1" applyBorder="1" applyAlignment="1">
      <alignment horizontal="right"/>
    </xf>
    <xf numFmtId="0" fontId="16" fillId="0" borderId="6" xfId="0" applyFont="1" applyBorder="1" applyAlignment="1">
      <alignment horizontal="right" vertical="center"/>
    </xf>
    <xf numFmtId="0" fontId="15" fillId="0" borderId="6" xfId="2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13" fillId="0" borderId="16" xfId="0" applyFont="1" applyBorder="1" applyAlignment="1">
      <alignment horizontal="right"/>
    </xf>
    <xf numFmtId="0" fontId="14" fillId="0" borderId="10" xfId="1" applyFont="1" applyBorder="1" applyAlignment="1">
      <alignment horizontal="right" vertical="center"/>
    </xf>
    <xf numFmtId="0" fontId="14" fillId="0" borderId="6" xfId="1" applyFont="1" applyBorder="1" applyAlignment="1">
      <alignment horizontal="right" vertical="center"/>
    </xf>
    <xf numFmtId="0" fontId="13" fillId="0" borderId="10" xfId="0" applyFont="1" applyBorder="1" applyAlignment="1">
      <alignment horizontal="right"/>
    </xf>
    <xf numFmtId="2" fontId="13" fillId="0" borderId="6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0" fillId="8" borderId="0" xfId="0" applyFill="1" applyAlignment="1"/>
    <xf numFmtId="0" fontId="13" fillId="0" borderId="6" xfId="0" applyFont="1" applyBorder="1" applyAlignment="1">
      <alignment horizontal="right"/>
    </xf>
    <xf numFmtId="0" fontId="40" fillId="8" borderId="0" xfId="0" applyFont="1" applyFill="1" applyAlignment="1">
      <alignment horizontal="center" vertical="center"/>
    </xf>
    <xf numFmtId="0" fontId="0" fillId="0" borderId="0" xfId="0" applyAlignment="1"/>
    <xf numFmtId="0" fontId="13" fillId="0" borderId="6" xfId="0" applyFont="1" applyBorder="1" applyAlignment="1">
      <alignment horizontal="right" vertical="center"/>
    </xf>
    <xf numFmtId="0" fontId="0" fillId="0" borderId="3" xfId="0" applyBorder="1" applyAlignment="1"/>
    <xf numFmtId="14" fontId="13" fillId="0" borderId="6" xfId="0" applyNumberFormat="1" applyFont="1" applyBorder="1" applyAlignment="1">
      <alignment horizontal="right" vertical="center"/>
    </xf>
    <xf numFmtId="1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14" fontId="13" fillId="9" borderId="0" xfId="0" applyNumberFormat="1" applyFont="1" applyFill="1" applyAlignment="1">
      <alignment horizontal="right" vertical="center"/>
    </xf>
    <xf numFmtId="176" fontId="38" fillId="8" borderId="0" xfId="0" applyNumberFormat="1" applyFont="1" applyFill="1" applyAlignment="1">
      <alignment horizontal="center" vertical="center"/>
    </xf>
    <xf numFmtId="177" fontId="13" fillId="0" borderId="0" xfId="0" applyNumberFormat="1" applyFont="1" applyAlignment="1">
      <alignment horizontal="right"/>
    </xf>
    <xf numFmtId="178" fontId="15" fillId="0" borderId="1" xfId="2" applyNumberFormat="1" applyFont="1" applyBorder="1" applyAlignment="1">
      <alignment horizontal="center" vertical="center" wrapText="1"/>
    </xf>
    <xf numFmtId="178" fontId="15" fillId="0" borderId="2" xfId="2" applyNumberFormat="1" applyFont="1" applyBorder="1" applyAlignment="1">
      <alignment horizontal="center" vertical="center" wrapText="1"/>
    </xf>
    <xf numFmtId="178" fontId="15" fillId="0" borderId="12" xfId="2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right" vertical="center"/>
    </xf>
    <xf numFmtId="178" fontId="13" fillId="0" borderId="6" xfId="0" applyNumberFormat="1" applyFont="1" applyBorder="1" applyAlignment="1">
      <alignment horizontal="right" vertical="center"/>
    </xf>
    <xf numFmtId="179" fontId="13" fillId="0" borderId="6" xfId="0" applyNumberFormat="1" applyFont="1" applyBorder="1" applyAlignment="1">
      <alignment horizontal="right" vertical="center"/>
    </xf>
    <xf numFmtId="177" fontId="15" fillId="0" borderId="6" xfId="2" applyNumberFormat="1" applyFont="1" applyBorder="1" applyAlignment="1">
      <alignment horizontal="right" vertical="center"/>
    </xf>
    <xf numFmtId="178" fontId="15" fillId="0" borderId="10" xfId="2" applyNumberFormat="1" applyFont="1" applyBorder="1" applyAlignment="1">
      <alignment horizontal="right" vertical="center"/>
    </xf>
    <xf numFmtId="178" fontId="15" fillId="0" borderId="6" xfId="2" applyNumberFormat="1" applyFont="1" applyBorder="1" applyAlignment="1">
      <alignment horizontal="right" vertical="center"/>
    </xf>
    <xf numFmtId="180" fontId="13" fillId="0" borderId="6" xfId="0" applyNumberFormat="1" applyFont="1" applyBorder="1" applyAlignment="1">
      <alignment horizontal="right" vertical="center"/>
    </xf>
    <xf numFmtId="181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78" fontId="13" fillId="0" borderId="16" xfId="0" applyNumberFormat="1" applyFont="1" applyBorder="1" applyAlignment="1">
      <alignment horizontal="right" vertical="center"/>
    </xf>
    <xf numFmtId="183" fontId="13" fillId="0" borderId="6" xfId="0" applyNumberFormat="1" applyFont="1" applyBorder="1" applyAlignment="1">
      <alignment horizontal="right" vertical="center"/>
    </xf>
    <xf numFmtId="184" fontId="13" fillId="0" borderId="6" xfId="0" applyNumberFormat="1" applyFont="1" applyBorder="1" applyAlignment="1">
      <alignment horizontal="right" vertical="center"/>
    </xf>
    <xf numFmtId="185" fontId="13" fillId="0" borderId="6" xfId="0" applyNumberFormat="1" applyFont="1" applyBorder="1" applyAlignment="1">
      <alignment horizontal="right" vertical="center"/>
    </xf>
    <xf numFmtId="186" fontId="13" fillId="0" borderId="6" xfId="0" applyNumberFormat="1" applyFont="1" applyBorder="1" applyAlignment="1">
      <alignment horizontal="right" vertical="center"/>
    </xf>
    <xf numFmtId="180" fontId="15" fillId="0" borderId="6" xfId="0" applyNumberFormat="1" applyFont="1" applyBorder="1" applyAlignment="1">
      <alignment horizontal="right" vertical="center"/>
    </xf>
    <xf numFmtId="183" fontId="15" fillId="0" borderId="6" xfId="0" applyNumberFormat="1" applyFont="1" applyBorder="1" applyAlignment="1">
      <alignment horizontal="right" vertical="center"/>
    </xf>
    <xf numFmtId="187" fontId="13" fillId="0" borderId="6" xfId="0" applyNumberFormat="1" applyFont="1" applyBorder="1" applyAlignment="1">
      <alignment horizontal="right" vertical="center"/>
    </xf>
    <xf numFmtId="188" fontId="13" fillId="0" borderId="6" xfId="0" applyNumberFormat="1" applyFont="1" applyBorder="1" applyAlignment="1">
      <alignment horizontal="right" vertical="center"/>
    </xf>
    <xf numFmtId="189" fontId="13" fillId="0" borderId="6" xfId="0" applyNumberFormat="1" applyFont="1" applyBorder="1" applyAlignment="1">
      <alignment horizontal="right" vertical="center"/>
    </xf>
    <xf numFmtId="177" fontId="13" fillId="0" borderId="6" xfId="0" applyNumberFormat="1" applyFont="1" applyBorder="1" applyAlignment="1">
      <alignment horizontal="right"/>
    </xf>
    <xf numFmtId="179" fontId="13" fillId="0" borderId="3" xfId="0" applyNumberFormat="1" applyFont="1" applyBorder="1" applyAlignment="1">
      <alignment horizontal="right" vertical="center"/>
    </xf>
    <xf numFmtId="180" fontId="13" fillId="0" borderId="0" xfId="0" applyNumberFormat="1" applyFont="1" applyAlignment="1">
      <alignment horizontal="right"/>
    </xf>
    <xf numFmtId="179" fontId="13" fillId="0" borderId="0" xfId="0" applyNumberFormat="1" applyFont="1" applyAlignment="1">
      <alignment horizontal="right"/>
    </xf>
    <xf numFmtId="187" fontId="13" fillId="0" borderId="0" xfId="0" applyNumberFormat="1" applyFont="1" applyAlignment="1">
      <alignment horizontal="right"/>
    </xf>
    <xf numFmtId="186" fontId="13" fillId="0" borderId="0" xfId="0" applyNumberFormat="1" applyFont="1" applyAlignment="1">
      <alignment horizontal="right"/>
    </xf>
    <xf numFmtId="183" fontId="13" fillId="0" borderId="0" xfId="0" applyNumberFormat="1" applyFont="1" applyAlignment="1">
      <alignment horizontal="right"/>
    </xf>
    <xf numFmtId="179" fontId="13" fillId="0" borderId="0" xfId="0" applyNumberFormat="1" applyFont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9" fontId="13" fillId="0" borderId="0" xfId="0" applyNumberFormat="1" applyFont="1" applyAlignment="1">
      <alignment horizontal="right"/>
    </xf>
    <xf numFmtId="181" fontId="13" fillId="0" borderId="0" xfId="0" applyNumberFormat="1" applyFont="1" applyAlignment="1">
      <alignment horizontal="right"/>
    </xf>
    <xf numFmtId="189" fontId="15" fillId="0" borderId="6" xfId="2" applyNumberFormat="1" applyFont="1" applyBorder="1" applyAlignment="1">
      <alignment horizontal="right" vertical="center"/>
    </xf>
    <xf numFmtId="180" fontId="15" fillId="0" borderId="6" xfId="2" applyNumberFormat="1" applyFont="1" applyBorder="1" applyAlignment="1">
      <alignment horizontal="right" vertical="center"/>
    </xf>
    <xf numFmtId="185" fontId="15" fillId="0" borderId="6" xfId="2" applyNumberFormat="1" applyFont="1" applyBorder="1" applyAlignment="1">
      <alignment horizontal="right" vertical="center"/>
    </xf>
    <xf numFmtId="181" fontId="15" fillId="0" borderId="6" xfId="2" applyNumberFormat="1" applyFont="1" applyBorder="1" applyAlignment="1">
      <alignment horizontal="right" vertical="center"/>
    </xf>
    <xf numFmtId="179" fontId="15" fillId="0" borderId="6" xfId="2" applyNumberFormat="1" applyFont="1" applyBorder="1" applyAlignment="1">
      <alignment horizontal="right" vertical="center"/>
    </xf>
    <xf numFmtId="180" fontId="15" fillId="0" borderId="0" xfId="2" applyNumberFormat="1" applyFont="1" applyAlignment="1">
      <alignment horizontal="right" vertical="center"/>
    </xf>
    <xf numFmtId="185" fontId="15" fillId="0" borderId="0" xfId="2" applyNumberFormat="1" applyFont="1" applyAlignment="1">
      <alignment horizontal="right" vertical="center"/>
    </xf>
    <xf numFmtId="179" fontId="15" fillId="0" borderId="0" xfId="2" applyNumberFormat="1" applyFont="1" applyAlignment="1">
      <alignment horizontal="right" vertical="center"/>
    </xf>
    <xf numFmtId="181" fontId="13" fillId="0" borderId="0" xfId="0" applyNumberFormat="1" applyFont="1" applyAlignment="1">
      <alignment horizontal="right" vertical="center"/>
    </xf>
    <xf numFmtId="184" fontId="13" fillId="0" borderId="0" xfId="0" applyNumberFormat="1" applyFont="1" applyAlignment="1">
      <alignment horizontal="right" vertical="center"/>
    </xf>
    <xf numFmtId="178" fontId="4" fillId="0" borderId="1" xfId="2" applyNumberFormat="1" applyFont="1" applyBorder="1" applyAlignment="1">
      <alignment horizontal="center" vertical="center" wrapText="1"/>
    </xf>
    <xf numFmtId="178" fontId="4" fillId="0" borderId="2" xfId="2" applyNumberFormat="1" applyFont="1" applyBorder="1" applyAlignment="1">
      <alignment horizontal="center" vertical="center" wrapText="1"/>
    </xf>
    <xf numFmtId="178" fontId="4" fillId="0" borderId="6" xfId="2" applyNumberFormat="1" applyFont="1" applyBorder="1" applyAlignment="1">
      <alignment vertical="center"/>
    </xf>
    <xf numFmtId="178" fontId="4" fillId="0" borderId="6" xfId="2" applyNumberFormat="1" applyFont="1" applyBorder="1" applyAlignment="1">
      <alignment horizontal="center" vertical="center"/>
    </xf>
    <xf numFmtId="185" fontId="4" fillId="0" borderId="6" xfId="2" applyNumberFormat="1" applyFont="1" applyBorder="1" applyAlignment="1">
      <alignment horizontal="center" vertical="center"/>
    </xf>
    <xf numFmtId="190" fontId="1" fillId="0" borderId="6" xfId="0" applyNumberFormat="1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90" fontId="1" fillId="0" borderId="6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84" fontId="0" fillId="0" borderId="0" xfId="0" applyNumberFormat="1" applyAlignment="1">
      <alignment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76" fontId="0" fillId="0" borderId="0" xfId="0" applyNumberFormat="1" applyAlignment="1"/>
    <xf numFmtId="191" fontId="27" fillId="14" borderId="0" xfId="0" applyNumberFormat="1" applyFont="1" applyFill="1" applyAlignment="1">
      <alignment horizontal="center" vertical="center"/>
    </xf>
    <xf numFmtId="191" fontId="0" fillId="0" borderId="0" xfId="0" applyNumberFormat="1" applyAlignment="1">
      <alignment vertical="center"/>
    </xf>
    <xf numFmtId="0" fontId="13" fillId="0" borderId="6" xfId="0" applyFont="1" applyBorder="1" applyAlignment="1">
      <alignment horizontal="right" vertical="center"/>
    </xf>
    <xf numFmtId="14" fontId="13" fillId="0" borderId="6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44" fillId="8" borderId="0" xfId="0" applyFont="1" applyFill="1" applyAlignment="1">
      <alignment horizontal="center" vertical="center" wrapText="1"/>
    </xf>
    <xf numFmtId="0" fontId="0" fillId="0" borderId="0" xfId="0" applyAlignment="1"/>
    <xf numFmtId="0" fontId="43" fillId="8" borderId="0" xfId="0" applyFont="1" applyFill="1" applyAlignment="1">
      <alignment horizontal="left" vertical="center" indent="1"/>
    </xf>
    <xf numFmtId="0" fontId="38" fillId="8" borderId="0" xfId="0" applyFont="1" applyFill="1" applyAlignment="1">
      <alignment horizontal="left" vertical="center"/>
    </xf>
    <xf numFmtId="1" fontId="53" fillId="8" borderId="0" xfId="0" applyNumberFormat="1" applyFont="1" applyFill="1" applyAlignment="1">
      <alignment horizontal="center"/>
    </xf>
    <xf numFmtId="0" fontId="39" fillId="8" borderId="0" xfId="0" applyFont="1" applyFill="1" applyAlignment="1">
      <alignment horizontal="left" vertical="center" indent="1"/>
    </xf>
    <xf numFmtId="0" fontId="40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47" fillId="24" borderId="0" xfId="0" applyFont="1" applyFill="1" applyAlignment="1">
      <alignment horizontal="center" vertical="center"/>
    </xf>
    <xf numFmtId="9" fontId="54" fillId="8" borderId="0" xfId="0" applyNumberFormat="1" applyFont="1" applyFill="1" applyAlignment="1">
      <alignment horizontal="center" vertical="center"/>
    </xf>
    <xf numFmtId="0" fontId="49" fillId="8" borderId="0" xfId="0" applyFont="1" applyFill="1" applyAlignment="1">
      <alignment horizontal="left"/>
    </xf>
    <xf numFmtId="0" fontId="50" fillId="8" borderId="0" xfId="0" applyFont="1" applyFill="1" applyAlignment="1">
      <alignment horizontal="left"/>
    </xf>
    <xf numFmtId="0" fontId="46" fillId="8" borderId="0" xfId="0" applyFont="1" applyFill="1" applyAlignment="1">
      <alignment horizontal="center" vertical="center" wrapText="1"/>
    </xf>
    <xf numFmtId="1" fontId="53" fillId="8" borderId="0" xfId="0" applyNumberFormat="1" applyFont="1" applyFill="1" applyAlignment="1">
      <alignment horizontal="center" vertical="center"/>
    </xf>
    <xf numFmtId="0" fontId="15" fillId="3" borderId="9" xfId="2" applyFont="1" applyFill="1" applyBorder="1" applyAlignment="1">
      <alignment horizontal="center" vertical="center" wrapText="1"/>
    </xf>
    <xf numFmtId="0" fontId="0" fillId="0" borderId="7" xfId="0" applyBorder="1" applyAlignment="1"/>
    <xf numFmtId="0" fontId="15" fillId="0" borderId="9" xfId="2" applyFont="1" applyBorder="1" applyAlignment="1">
      <alignment horizontal="center" vertical="center" wrapText="1"/>
    </xf>
    <xf numFmtId="0" fontId="0" fillId="0" borderId="3" xfId="0" applyBorder="1" applyAlignment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5" fillId="7" borderId="6" xfId="2" applyFont="1" applyFill="1" applyBorder="1" applyAlignment="1">
      <alignment horizontal="center" vertical="center" wrapText="1"/>
    </xf>
    <xf numFmtId="0" fontId="0" fillId="0" borderId="10" xfId="0" applyBorder="1" applyAlignment="1"/>
    <xf numFmtId="14" fontId="13" fillId="9" borderId="0" xfId="0" applyNumberFormat="1" applyFont="1" applyFill="1" applyAlignment="1">
      <alignment horizontal="right" vertical="center"/>
    </xf>
    <xf numFmtId="177" fontId="15" fillId="0" borderId="9" xfId="2" applyNumberFormat="1" applyFont="1" applyBorder="1" applyAlignment="1">
      <alignment horizontal="center" vertical="center" wrapText="1"/>
    </xf>
    <xf numFmtId="185" fontId="15" fillId="7" borderId="6" xfId="2" applyNumberFormat="1" applyFont="1" applyFill="1" applyBorder="1" applyAlignment="1">
      <alignment horizontal="center" vertical="center" wrapText="1"/>
    </xf>
    <xf numFmtId="178" fontId="15" fillId="0" borderId="9" xfId="2" applyNumberFormat="1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7" borderId="7" xfId="2" applyFont="1" applyFill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0" fillId="0" borderId="8" xfId="0" applyBorder="1" applyAlignment="1"/>
    <xf numFmtId="0" fontId="4" fillId="3" borderId="9" xfId="2" applyFont="1" applyFill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8" fillId="5" borderId="6" xfId="2" applyFont="1" applyFill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185" fontId="8" fillId="5" borderId="6" xfId="2" applyNumberFormat="1" applyFont="1" applyFill="1" applyBorder="1" applyAlignment="1">
      <alignment horizontal="center" vertical="center" wrapText="1"/>
    </xf>
    <xf numFmtId="178" fontId="4" fillId="0" borderId="9" xfId="2" applyNumberFormat="1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8" fillId="5" borderId="7" xfId="2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center" vertical="center"/>
    </xf>
    <xf numFmtId="0" fontId="38" fillId="14" borderId="0" xfId="0" applyFont="1" applyFill="1" applyAlignment="1">
      <alignment horizontal="left" vertical="center" indent="1"/>
    </xf>
    <xf numFmtId="0" fontId="38" fillId="23" borderId="0" xfId="0" applyFont="1" applyFill="1" applyAlignment="1">
      <alignment horizontal="left" vertical="center" indent="1"/>
    </xf>
    <xf numFmtId="0" fontId="21" fillId="12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190" fontId="13" fillId="0" borderId="6" xfId="0" applyNumberFormat="1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4" fontId="13" fillId="0" borderId="6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</cellXfs>
  <cellStyles count="3">
    <cellStyle name="一般" xfId="0" builtinId="0"/>
    <cellStyle name="一般_Hotai-驗證登錄及能源分級標示目前申請進度表0401" xfId="2" xr:uid="{00000000-0005-0000-0000-000002000000}"/>
    <cellStyle name="超連結" xfId="1" builtinId="8"/>
  </cellStyles>
  <dxfs count="149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theme="8" tint="-0.24994659260841701"/>
      </font>
      <fill>
        <patternFill>
          <bgColor theme="9" tint="0.79998168889431442"/>
        </patternFill>
      </fill>
    </dxf>
    <dxf>
      <font>
        <b/>
        <color rgb="FF7030A0"/>
      </font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theme="8" tint="-0.24994659260841701"/>
      </font>
      <fill>
        <patternFill>
          <bgColor theme="9" tint="0.79998168889431442"/>
        </patternFill>
      </fill>
    </dxf>
    <dxf>
      <font>
        <b/>
        <color rgb="FF7030A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商品驗證登錄證書有效張數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183308610433761"/>
          <c:y val="0.26461643799541779"/>
          <c:w val="0.62391515220252691"/>
          <c:h val="0.73399836726094869"/>
        </c:manualLayout>
      </c:layout>
      <c:doughnutChart>
        <c:varyColors val="0"/>
        <c:ser>
          <c:idx val="0"/>
          <c:order val="0"/>
          <c:tx>
            <c:strRef>
              <c:f>圖表資料!$B$4</c:f>
              <c:strCache>
                <c:ptCount val="1"/>
                <c:pt idx="0">
                  <c:v>有效張數（去重）</c:v>
                </c:pt>
              </c:strCache>
            </c:strRef>
          </c:tx>
          <c:spPr>
            <a:solidFill>
              <a:srgbClr val="A4DFF2"/>
            </a:solidFill>
            <a:ln w="19050">
              <a:solidFill>
                <a:schemeClr val="lt1"/>
              </a:solidFill>
              <a:prstDash val="solid"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5B-4722-8FF9-77AFA3A2D11C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5B-4722-8FF9-77AFA3A2D11C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5B-4722-8FF9-77AFA3A2D11C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5B-4722-8FF9-77AFA3A2D11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圖表資料!$A$5:$A$8</c:f>
              <c:strCache>
                <c:ptCount val="4"/>
                <c:pt idx="0">
                  <c:v>RA</c:v>
                </c:pt>
                <c:pt idx="1">
                  <c:v>MA</c:v>
                </c:pt>
                <c:pt idx="2">
                  <c:v>SA</c:v>
                </c:pt>
                <c:pt idx="3">
                  <c:v>VRV</c:v>
                </c:pt>
              </c:strCache>
            </c:strRef>
          </c:cat>
          <c:val>
            <c:numRef>
              <c:f>圖表資料!$B$5:$B$8</c:f>
              <c:numCache>
                <c:formatCode>0</c:formatCode>
                <c:ptCount val="4"/>
                <c:pt idx="0">
                  <c:v>14.000000000000007</c:v>
                </c:pt>
                <c:pt idx="1">
                  <c:v>11</c:v>
                </c:pt>
                <c:pt idx="2">
                  <c:v>24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5B-4722-8FF9-77AFA3A2D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rPr>
              <a:t>節能標章有效張數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1501885439598381"/>
          <c:y val="0.20797139487998781"/>
          <c:w val="0.62368785006199301"/>
          <c:h val="0.79202860512001216"/>
        </c:manualLayout>
      </c:layout>
      <c:doughnutChart>
        <c:varyColors val="0"/>
        <c:ser>
          <c:idx val="0"/>
          <c:order val="0"/>
          <c:tx>
            <c:strRef>
              <c:f>圖表資料!$E$4</c:f>
              <c:strCache>
                <c:ptCount val="1"/>
                <c:pt idx="0">
                  <c:v>有效張數（去重）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  <a:prstDash val="solid"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E6-48D2-821D-E71BFEFE04EA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E6-48D2-821D-E71BFEFE04EA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E6-48D2-821D-E71BFEFE04EA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E6-48D2-821D-E71BFEFE04E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TW" altLang="en-US"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圖表資料!$D$5:$D$8</c:f>
              <c:strCache>
                <c:ptCount val="4"/>
                <c:pt idx="0">
                  <c:v>RA</c:v>
                </c:pt>
                <c:pt idx="1">
                  <c:v>MA</c:v>
                </c:pt>
                <c:pt idx="2">
                  <c:v>SA</c:v>
                </c:pt>
                <c:pt idx="3">
                  <c:v>VRV</c:v>
                </c:pt>
              </c:strCache>
            </c:strRef>
          </c:cat>
          <c:val>
            <c:numRef>
              <c:f>圖表資料!$E$5:$E$8</c:f>
              <c:numCache>
                <c:formatCode>0</c:formatCode>
                <c:ptCount val="4"/>
                <c:pt idx="0">
                  <c:v>12</c:v>
                </c:pt>
                <c:pt idx="1">
                  <c:v>3</c:v>
                </c:pt>
                <c:pt idx="2">
                  <c:v>6.0000000000000018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E6-48D2-821D-E71BFEFE0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900"/>
              <a:t>後續到期張數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圖表資料!$B$12</c:f>
              <c:strCache>
                <c:ptCount val="1"/>
                <c:pt idx="0">
                  <c:v>商品驗證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圖表資料!$A$13:$A$18</c:f>
              <c:strCache>
                <c:ptCount val="6"/>
                <c:pt idx="0">
                  <c:v>2026上半</c:v>
                </c:pt>
                <c:pt idx="1">
                  <c:v>2026下半</c:v>
                </c:pt>
                <c:pt idx="2">
                  <c:v>2027上半</c:v>
                </c:pt>
                <c:pt idx="3">
                  <c:v>2027下半</c:v>
                </c:pt>
                <c:pt idx="4">
                  <c:v>2028上半</c:v>
                </c:pt>
                <c:pt idx="5">
                  <c:v>2028下半</c:v>
                </c:pt>
              </c:strCache>
            </c:strRef>
          </c:cat>
          <c:val>
            <c:numRef>
              <c:f>圖表資料!$B$13:$B$18</c:f>
              <c:numCache>
                <c:formatCode>0</c:formatCode>
                <c:ptCount val="6"/>
                <c:pt idx="0">
                  <c:v>14</c:v>
                </c:pt>
                <c:pt idx="1">
                  <c:v>12</c:v>
                </c:pt>
                <c:pt idx="2">
                  <c:v>27</c:v>
                </c:pt>
                <c:pt idx="3">
                  <c:v>16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3-43A5-990E-C4209C0C1C80}"/>
            </c:ext>
          </c:extLst>
        </c:ser>
        <c:ser>
          <c:idx val="1"/>
          <c:order val="1"/>
          <c:tx>
            <c:strRef>
              <c:f>圖表資料!$D$12</c:f>
              <c:strCache>
                <c:ptCount val="1"/>
                <c:pt idx="0">
                  <c:v>節能標章</c:v>
                </c:pt>
              </c:strCache>
            </c:strRef>
          </c:tx>
          <c:spPr>
            <a:solidFill>
              <a:srgbClr val="00CC99"/>
            </a:solidFill>
            <a:ln>
              <a:noFill/>
              <a:prstDash val="solid"/>
            </a:ln>
          </c:spPr>
          <c:invertIfNegative val="0"/>
          <c:cat>
            <c:strRef>
              <c:f>圖表資料!$A$13:$A$18</c:f>
              <c:strCache>
                <c:ptCount val="6"/>
                <c:pt idx="0">
                  <c:v>2026上半</c:v>
                </c:pt>
                <c:pt idx="1">
                  <c:v>2026下半</c:v>
                </c:pt>
                <c:pt idx="2">
                  <c:v>2027上半</c:v>
                </c:pt>
                <c:pt idx="3">
                  <c:v>2027下半</c:v>
                </c:pt>
                <c:pt idx="4">
                  <c:v>2028上半</c:v>
                </c:pt>
                <c:pt idx="5">
                  <c:v>2028下半</c:v>
                </c:pt>
              </c:strCache>
            </c:strRef>
          </c:cat>
          <c:val>
            <c:numRef>
              <c:f>圖表資料!$D$13:$D$18</c:f>
              <c:numCache>
                <c:formatCode>0</c:formatCode>
                <c:ptCount val="6"/>
                <c:pt idx="0">
                  <c:v>11</c:v>
                </c:pt>
                <c:pt idx="1">
                  <c:v>28</c:v>
                </c:pt>
                <c:pt idx="2">
                  <c:v>26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3-43A5-990E-C4209C0C1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152863"/>
        <c:axId val="462388671"/>
      </c:barChart>
      <c:catAx>
        <c:axId val="90615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62388671"/>
        <c:crosses val="autoZero"/>
        <c:auto val="1"/>
        <c:lblAlgn val="ctr"/>
        <c:lblOffset val="100"/>
        <c:noMultiLvlLbl val="0"/>
      </c:catAx>
      <c:valAx>
        <c:axId val="4623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90615286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各類別能效分級數量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圖表資料!$H$21</c:f>
              <c:strCache>
                <c:ptCount val="1"/>
                <c:pt idx="0">
                  <c:v>1級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CD-4B4D-8743-E114E08AB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CD-4B4D-8743-E114E08AB65A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CD-4B4D-8743-E114E08AB65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圖表資料!$G$22:$G$25</c:f>
              <c:strCache>
                <c:ptCount val="4"/>
                <c:pt idx="0">
                  <c:v>RA</c:v>
                </c:pt>
                <c:pt idx="1">
                  <c:v>MA</c:v>
                </c:pt>
                <c:pt idx="2">
                  <c:v>SA</c:v>
                </c:pt>
                <c:pt idx="3">
                  <c:v>VRV</c:v>
                </c:pt>
              </c:strCache>
            </c:strRef>
          </c:cat>
          <c:val>
            <c:numRef>
              <c:f>圖表資料!$H$22:$H$25</c:f>
              <c:numCache>
                <c:formatCode>0</c:formatCode>
                <c:ptCount val="4"/>
                <c:pt idx="0">
                  <c:v>41</c:v>
                </c:pt>
                <c:pt idx="1">
                  <c:v>15</c:v>
                </c:pt>
                <c:pt idx="2">
                  <c:v>19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CD-4B4D-8743-E114E08AB65A}"/>
            </c:ext>
          </c:extLst>
        </c:ser>
        <c:ser>
          <c:idx val="1"/>
          <c:order val="1"/>
          <c:tx>
            <c:strRef>
              <c:f>圖表資料!$I$21</c:f>
              <c:strCache>
                <c:ptCount val="1"/>
                <c:pt idx="0">
                  <c:v>2級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2CD-4B4D-8743-E114E08AB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22CD-4B4D-8743-E114E08AB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2CD-4B4D-8743-E114E08AB65A}"/>
              </c:ext>
            </c:extLst>
          </c:dPt>
          <c:dPt>
            <c:idx val="3"/>
            <c:invertIfNegative val="0"/>
            <c:bubble3D val="0"/>
            <c:spPr>
              <a:solidFill>
                <a:srgbClr val="CC66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2CD-4B4D-8743-E114E08AB65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圖表資料!$G$22:$G$25</c:f>
              <c:strCache>
                <c:ptCount val="4"/>
                <c:pt idx="0">
                  <c:v>RA</c:v>
                </c:pt>
                <c:pt idx="1">
                  <c:v>MA</c:v>
                </c:pt>
                <c:pt idx="2">
                  <c:v>SA</c:v>
                </c:pt>
                <c:pt idx="3">
                  <c:v>VRV</c:v>
                </c:pt>
              </c:strCache>
            </c:strRef>
          </c:cat>
          <c:val>
            <c:numRef>
              <c:f>圖表資料!$I$22:$I$25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2CD-4B4D-8743-E114E08AB65A}"/>
            </c:ext>
          </c:extLst>
        </c:ser>
        <c:ser>
          <c:idx val="2"/>
          <c:order val="2"/>
          <c:tx>
            <c:strRef>
              <c:f>圖表資料!$J$21</c:f>
              <c:strCache>
                <c:ptCount val="1"/>
                <c:pt idx="0">
                  <c:v>3級</c:v>
                </c:pt>
              </c:strCache>
            </c:strRef>
          </c:tx>
          <c:spPr>
            <a:solidFill>
              <a:srgbClr val="E5B9F9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圖表資料!$G$22:$G$25</c:f>
              <c:strCache>
                <c:ptCount val="4"/>
                <c:pt idx="0">
                  <c:v>RA</c:v>
                </c:pt>
                <c:pt idx="1">
                  <c:v>MA</c:v>
                </c:pt>
                <c:pt idx="2">
                  <c:v>SA</c:v>
                </c:pt>
                <c:pt idx="3">
                  <c:v>VRV</c:v>
                </c:pt>
              </c:strCache>
            </c:strRef>
          </c:cat>
          <c:val>
            <c:numRef>
              <c:f>圖表資料!$J$22:$J$25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CD-4B4D-8743-E114E08AB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917087"/>
        <c:axId val="782425951"/>
      </c:barChart>
      <c:catAx>
        <c:axId val="9539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2425951"/>
        <c:crosses val="autoZero"/>
        <c:auto val="1"/>
        <c:lblAlgn val="ctr"/>
        <c:lblOffset val="100"/>
        <c:noMultiLvlLbl val="0"/>
      </c:catAx>
      <c:valAx>
        <c:axId val="7824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3917087"/>
        <c:crosses val="autoZero"/>
        <c:crossBetween val="between"/>
        <c:majorUnit val="10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各類別</a:t>
            </a:r>
            <a:r>
              <a:rPr lang="en-US"/>
              <a:t>CSPF</a:t>
            </a:r>
            <a:r>
              <a:rPr lang="zh-TW" altLang="en-US"/>
              <a:t>實測</a:t>
            </a:r>
            <a:r>
              <a:rPr lang="en-US" altLang="zh-TW"/>
              <a:t>/</a:t>
            </a:r>
            <a:r>
              <a:rPr lang="zh-TW" altLang="en-US"/>
              <a:t>標示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圖表資料!$H$35</c:f>
              <c:strCache>
                <c:ptCount val="1"/>
                <c:pt idx="0">
                  <c:v>RA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cat>
            <c:strRef>
              <c:f>圖表資料!$G$36:$G$47</c:f>
              <c:strCache>
                <c:ptCount val="12"/>
                <c:pt idx="0">
                  <c:v>95%</c:v>
                </c:pt>
                <c:pt idx="1">
                  <c:v>96%</c:v>
                </c:pt>
                <c:pt idx="2">
                  <c:v>97%</c:v>
                </c:pt>
                <c:pt idx="3">
                  <c:v>98%</c:v>
                </c:pt>
                <c:pt idx="4">
                  <c:v>99%</c:v>
                </c:pt>
                <c:pt idx="5">
                  <c:v>100%</c:v>
                </c:pt>
                <c:pt idx="6">
                  <c:v>101%</c:v>
                </c:pt>
                <c:pt idx="7">
                  <c:v>102%</c:v>
                </c:pt>
                <c:pt idx="8">
                  <c:v>103%</c:v>
                </c:pt>
                <c:pt idx="9">
                  <c:v>104%</c:v>
                </c:pt>
                <c:pt idx="10">
                  <c:v>105%</c:v>
                </c:pt>
                <c:pt idx="11">
                  <c:v>&gt;106%</c:v>
                </c:pt>
              </c:strCache>
            </c:strRef>
          </c:cat>
          <c:val>
            <c:numRef>
              <c:f>圖表資料!$H$35:$H$47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A-4941-AA5F-301012333BA4}"/>
            </c:ext>
          </c:extLst>
        </c:ser>
        <c:ser>
          <c:idx val="1"/>
          <c:order val="1"/>
          <c:tx>
            <c:strRef>
              <c:f>圖表資料!$I$35</c:f>
              <c:strCache>
                <c:ptCount val="1"/>
                <c:pt idx="0">
                  <c:v>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圖表資料!$G$36:$G$47</c:f>
              <c:strCache>
                <c:ptCount val="12"/>
                <c:pt idx="0">
                  <c:v>95%</c:v>
                </c:pt>
                <c:pt idx="1">
                  <c:v>96%</c:v>
                </c:pt>
                <c:pt idx="2">
                  <c:v>97%</c:v>
                </c:pt>
                <c:pt idx="3">
                  <c:v>98%</c:v>
                </c:pt>
                <c:pt idx="4">
                  <c:v>99%</c:v>
                </c:pt>
                <c:pt idx="5">
                  <c:v>100%</c:v>
                </c:pt>
                <c:pt idx="6">
                  <c:v>101%</c:v>
                </c:pt>
                <c:pt idx="7">
                  <c:v>102%</c:v>
                </c:pt>
                <c:pt idx="8">
                  <c:v>103%</c:v>
                </c:pt>
                <c:pt idx="9">
                  <c:v>104%</c:v>
                </c:pt>
                <c:pt idx="10">
                  <c:v>105%</c:v>
                </c:pt>
                <c:pt idx="11">
                  <c:v>&gt;106%</c:v>
                </c:pt>
              </c:strCache>
            </c:strRef>
          </c:cat>
          <c:val>
            <c:numRef>
              <c:f>圖表資料!$I$35:$I$47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A-4941-AA5F-301012333BA4}"/>
            </c:ext>
          </c:extLst>
        </c:ser>
        <c:ser>
          <c:idx val="2"/>
          <c:order val="2"/>
          <c:tx>
            <c:strRef>
              <c:f>圖表資料!$J$35</c:f>
              <c:strCache>
                <c:ptCount val="1"/>
                <c:pt idx="0">
                  <c:v>SA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strRef>
              <c:f>圖表資料!$G$36:$G$47</c:f>
              <c:strCache>
                <c:ptCount val="12"/>
                <c:pt idx="0">
                  <c:v>95%</c:v>
                </c:pt>
                <c:pt idx="1">
                  <c:v>96%</c:v>
                </c:pt>
                <c:pt idx="2">
                  <c:v>97%</c:v>
                </c:pt>
                <c:pt idx="3">
                  <c:v>98%</c:v>
                </c:pt>
                <c:pt idx="4">
                  <c:v>99%</c:v>
                </c:pt>
                <c:pt idx="5">
                  <c:v>100%</c:v>
                </c:pt>
                <c:pt idx="6">
                  <c:v>101%</c:v>
                </c:pt>
                <c:pt idx="7">
                  <c:v>102%</c:v>
                </c:pt>
                <c:pt idx="8">
                  <c:v>103%</c:v>
                </c:pt>
                <c:pt idx="9">
                  <c:v>104%</c:v>
                </c:pt>
                <c:pt idx="10">
                  <c:v>105%</c:v>
                </c:pt>
                <c:pt idx="11">
                  <c:v>&gt;106%</c:v>
                </c:pt>
              </c:strCache>
            </c:strRef>
          </c:cat>
          <c:val>
            <c:numRef>
              <c:f>圖表資料!$J$35:$J$47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A-4941-AA5F-301012333BA4}"/>
            </c:ext>
          </c:extLst>
        </c:ser>
        <c:ser>
          <c:idx val="3"/>
          <c:order val="3"/>
          <c:tx>
            <c:strRef>
              <c:f>圖表資料!$K$35</c:f>
              <c:strCache>
                <c:ptCount val="1"/>
                <c:pt idx="0">
                  <c:v>VRV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cat>
            <c:strRef>
              <c:f>圖表資料!$G$36:$G$47</c:f>
              <c:strCache>
                <c:ptCount val="12"/>
                <c:pt idx="0">
                  <c:v>95%</c:v>
                </c:pt>
                <c:pt idx="1">
                  <c:v>96%</c:v>
                </c:pt>
                <c:pt idx="2">
                  <c:v>97%</c:v>
                </c:pt>
                <c:pt idx="3">
                  <c:v>98%</c:v>
                </c:pt>
                <c:pt idx="4">
                  <c:v>99%</c:v>
                </c:pt>
                <c:pt idx="5">
                  <c:v>100%</c:v>
                </c:pt>
                <c:pt idx="6">
                  <c:v>101%</c:v>
                </c:pt>
                <c:pt idx="7">
                  <c:v>102%</c:v>
                </c:pt>
                <c:pt idx="8">
                  <c:v>103%</c:v>
                </c:pt>
                <c:pt idx="9">
                  <c:v>104%</c:v>
                </c:pt>
                <c:pt idx="10">
                  <c:v>105%</c:v>
                </c:pt>
                <c:pt idx="11">
                  <c:v>&gt;106%</c:v>
                </c:pt>
              </c:strCache>
            </c:strRef>
          </c:cat>
          <c:val>
            <c:numRef>
              <c:f>圖表資料!$K$36:$K$47</c:f>
              <c:numCache>
                <c:formatCode>0</c:formatCode>
                <c:ptCount val="12"/>
                <c:pt idx="0">
                  <c:v>27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DA-4941-AA5F-301012333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977903"/>
        <c:axId val="947970335"/>
      </c:lineChart>
      <c:catAx>
        <c:axId val="10739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947970335"/>
        <c:crosses val="autoZero"/>
        <c:auto val="0"/>
        <c:lblAlgn val="ctr"/>
        <c:lblOffset val="100"/>
        <c:noMultiLvlLbl val="0"/>
      </c:catAx>
      <c:valAx>
        <c:axId val="94797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073977903"/>
        <c:crossesAt val="1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節能標章取得百分比</a:t>
            </a:r>
          </a:p>
        </c:rich>
      </c:tx>
      <c:layout>
        <c:manualLayout>
          <c:xMode val="edge"/>
          <c:yMode val="edge"/>
          <c:x val="0.27500000000000002"/>
          <c:y val="1.682439537329126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639704724409449"/>
          <c:y val="0.108965448719541"/>
          <c:w val="0.54705927384076991"/>
          <c:h val="0.82835473641504587"/>
        </c:manualLayout>
      </c:layout>
      <c:doughnutChart>
        <c:varyColors val="1"/>
        <c:ser>
          <c:idx val="0"/>
          <c:order val="0"/>
          <c:tx>
            <c:strRef>
              <c:f>圖表資料!$L$29</c:f>
              <c:strCache>
                <c:ptCount val="1"/>
                <c:pt idx="0">
                  <c:v>RA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93-4DBC-B05D-B0A8F8AC401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93-4DBC-B05D-B0A8F8AC401D}"/>
              </c:ext>
            </c:extLst>
          </c:dPt>
          <c:dLbls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93-4DBC-B05D-B0A8F8AC401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圖表資料!$M$29:$N$29</c:f>
              <c:numCache>
                <c:formatCode>0.0%</c:formatCode>
                <c:ptCount val="2"/>
                <c:pt idx="0">
                  <c:v>0.7857142857142857</c:v>
                </c:pt>
                <c:pt idx="1">
                  <c:v>0.2142857142857143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93-4DBC-B05D-B0A8F8AC401D}"/>
            </c:ext>
          </c:extLst>
        </c:ser>
        <c:ser>
          <c:idx val="1"/>
          <c:order val="1"/>
          <c:tx>
            <c:strRef>
              <c:f>圖表資料!$L$30</c:f>
              <c:strCache>
                <c:ptCount val="1"/>
                <c:pt idx="0">
                  <c:v>MA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893-4DBC-B05D-B0A8F8AC401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C893-4DBC-B05D-B0A8F8AC401D}"/>
              </c:ext>
            </c:extLst>
          </c:dPt>
          <c:dLbls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93-4DBC-B05D-B0A8F8AC401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圖表資料!$M$30:$N$30</c:f>
              <c:numCache>
                <c:formatCode>0.0%</c:formatCode>
                <c:ptCount val="2"/>
                <c:pt idx="0">
                  <c:v>0.63636363636363635</c:v>
                </c:pt>
                <c:pt idx="1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93-4DBC-B05D-B0A8F8AC401D}"/>
            </c:ext>
          </c:extLst>
        </c:ser>
        <c:ser>
          <c:idx val="2"/>
          <c:order val="2"/>
          <c:tx>
            <c:strRef>
              <c:f>圖表資料!$L$31</c:f>
              <c:strCache>
                <c:ptCount val="1"/>
                <c:pt idx="0">
                  <c:v>SA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93-4DBC-B05D-B0A8F8AC401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93-4DBC-B05D-B0A8F8AC401D}"/>
              </c:ext>
            </c:extLst>
          </c:dPt>
          <c:dLbls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93-4DBC-B05D-B0A8F8AC401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圖表資料!$M$31:$N$31</c:f>
              <c:numCache>
                <c:formatCode>0.0%</c:formatCode>
                <c:ptCount val="2"/>
                <c:pt idx="0">
                  <c:v>0.70833333333333337</c:v>
                </c:pt>
                <c:pt idx="1">
                  <c:v>0.29166666666666663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93-4DBC-B05D-B0A8F8AC401D}"/>
            </c:ext>
          </c:extLst>
        </c:ser>
        <c:ser>
          <c:idx val="3"/>
          <c:order val="3"/>
          <c:tx>
            <c:strRef>
              <c:f>圖表資料!$L$32</c:f>
              <c:strCache>
                <c:ptCount val="1"/>
                <c:pt idx="0">
                  <c:v>VRV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5B9F9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893-4DBC-B05D-B0A8F8AC401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893-4DBC-B05D-B0A8F8AC401D}"/>
              </c:ext>
            </c:extLst>
          </c:dPt>
          <c:dLbls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893-4DBC-B05D-B0A8F8AC401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圖表資料!$M$32:$N$32</c:f>
              <c:numCache>
                <c:formatCode>0.0%</c:formatCode>
                <c:ptCount val="2"/>
                <c:pt idx="0">
                  <c:v>0.62222222222222223</c:v>
                </c:pt>
                <c:pt idx="1">
                  <c:v>0.37777777777777777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93-4DBC-B05D-B0A8F8AC4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3"/>
      </c:doughnutChart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143300</xdr:colOff>
      <xdr:row>0</xdr:row>
      <xdr:rowOff>60960</xdr:rowOff>
    </xdr:from>
    <xdr:to>
      <xdr:col>7</xdr:col>
      <xdr:colOff>264795</xdr:colOff>
      <xdr:row>12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55245</xdr:colOff>
      <xdr:row>14</xdr:row>
      <xdr:rowOff>32384</xdr:rowOff>
    </xdr:from>
    <xdr:to>
      <xdr:col>7</xdr:col>
      <xdr:colOff>179069</xdr:colOff>
      <xdr:row>26</xdr:row>
      <xdr:rowOff>245744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285750</xdr:colOff>
      <xdr:row>2</xdr:row>
      <xdr:rowOff>19050</xdr:rowOff>
    </xdr:from>
    <xdr:to>
      <xdr:col>24</xdr:col>
      <xdr:colOff>209550</xdr:colOff>
      <xdr:row>12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352425</xdr:colOff>
      <xdr:row>15</xdr:row>
      <xdr:rowOff>104775</xdr:rowOff>
    </xdr:from>
    <xdr:to>
      <xdr:col>24</xdr:col>
      <xdr:colOff>276225</xdr:colOff>
      <xdr:row>26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238125</xdr:colOff>
      <xdr:row>29</xdr:row>
      <xdr:rowOff>57150</xdr:rowOff>
    </xdr:from>
    <xdr:to>
      <xdr:col>24</xdr:col>
      <xdr:colOff>9525</xdr:colOff>
      <xdr:row>41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29</xdr:row>
      <xdr:rowOff>28575</xdr:rowOff>
    </xdr:from>
    <xdr:to>
      <xdr:col>9</xdr:col>
      <xdr:colOff>219075</xdr:colOff>
      <xdr:row>42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B107"/>
  <sheetViews>
    <sheetView showGridLines="0" workbookViewId="0">
      <pane xSplit="1" ySplit="1" topLeftCell="B5" activePane="bottomRight" state="frozen"/>
      <selection pane="topRight"/>
      <selection pane="bottomLeft"/>
      <selection pane="bottomRight" activeCell="Y27" sqref="Y27"/>
    </sheetView>
  </sheetViews>
  <sheetFormatPr defaultRowHeight="16.2"/>
  <cols>
    <col min="1" max="1" width="0.77734375" style="113" customWidth="1"/>
    <col min="2" max="4" width="6" style="113" customWidth="1"/>
    <col min="5" max="5" width="9.33203125" style="113" customWidth="1"/>
    <col min="6" max="7" width="7.44140625" style="113" bestFit="1" customWidth="1"/>
    <col min="8" max="9" width="7" style="113" customWidth="1"/>
    <col min="10" max="10" width="8.44140625" style="113" bestFit="1" customWidth="1"/>
    <col min="11" max="13" width="7" style="113" customWidth="1"/>
    <col min="14" max="17" width="6" style="113" customWidth="1"/>
    <col min="18" max="26" width="7" style="113" customWidth="1"/>
    <col min="27" max="27" width="0.77734375" style="113" customWidth="1"/>
  </cols>
  <sheetData>
    <row r="1" spans="1:28" ht="8.1" customHeight="1">
      <c r="A1" s="47"/>
      <c r="B1" s="47"/>
      <c r="C1" s="47"/>
      <c r="D1" s="47"/>
      <c r="E1" s="47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47"/>
      <c r="W1" s="47"/>
      <c r="X1" s="47"/>
      <c r="Y1" s="47"/>
      <c r="Z1" s="47"/>
      <c r="AA1" s="47"/>
    </row>
    <row r="2" spans="1:28" ht="21.9" customHeight="1">
      <c r="A2" s="47"/>
      <c r="B2" s="86"/>
      <c r="C2" s="86"/>
      <c r="D2" s="86"/>
      <c r="E2" s="86"/>
      <c r="F2" s="83"/>
      <c r="G2" s="83"/>
      <c r="H2" s="189" t="s">
        <v>0</v>
      </c>
      <c r="I2" s="185"/>
      <c r="J2" s="185"/>
      <c r="K2" s="185"/>
      <c r="L2" s="189"/>
      <c r="M2" s="185"/>
      <c r="N2" s="185"/>
      <c r="O2" s="185"/>
      <c r="P2" s="110"/>
      <c r="Q2" s="110"/>
      <c r="R2" s="110"/>
      <c r="AA2" s="47"/>
    </row>
    <row r="3" spans="1:28" ht="20.100000000000001" customHeight="1">
      <c r="A3" s="47"/>
      <c r="B3" s="86"/>
      <c r="C3" s="86"/>
      <c r="D3" s="86"/>
      <c r="E3" s="86"/>
      <c r="F3" s="83"/>
      <c r="G3" s="83"/>
      <c r="H3" s="190" t="s">
        <v>1</v>
      </c>
      <c r="I3" s="185"/>
      <c r="J3" s="112" t="s">
        <v>2</v>
      </c>
      <c r="K3" s="112" t="s">
        <v>3</v>
      </c>
      <c r="L3" s="190" t="s">
        <v>1</v>
      </c>
      <c r="M3" s="185"/>
      <c r="N3" s="112" t="s">
        <v>2</v>
      </c>
      <c r="O3" s="112" t="s">
        <v>3</v>
      </c>
      <c r="P3" s="110"/>
      <c r="Q3" s="110"/>
      <c r="R3" s="110"/>
      <c r="AA3" s="47"/>
    </row>
    <row r="4" spans="1:28" ht="20.100000000000001" customHeight="1">
      <c r="A4" s="47"/>
      <c r="B4" s="86"/>
      <c r="C4" s="86"/>
      <c r="D4" s="86"/>
      <c r="E4" s="86"/>
      <c r="F4" s="83"/>
      <c r="G4" s="83"/>
      <c r="H4" s="187" t="str">
        <f>IFERROR(到期清單!A3,"")</f>
        <v>CI3A2261861837</v>
      </c>
      <c r="I4" s="185"/>
      <c r="J4" s="121">
        <f>IF(IFERROR(到期清單!B3,0)=0,"",到期清單!B3)</f>
        <v>46187</v>
      </c>
      <c r="K4" s="87">
        <f>IFERROR(到期清單!C3,"")</f>
        <v>23</v>
      </c>
      <c r="L4" s="187">
        <f>IFERROR(到期清單!A12,"")</f>
        <v>0</v>
      </c>
      <c r="M4" s="185"/>
      <c r="N4" s="121" t="str">
        <f>IF(IFERROR(到期清單!B18,0)=0,"",到期清單!B18)</f>
        <v/>
      </c>
      <c r="O4" s="87">
        <f>IFERROR(到期清單!C12,"")</f>
        <v>0</v>
      </c>
      <c r="P4" s="110"/>
      <c r="Q4" s="110"/>
      <c r="R4" s="110"/>
      <c r="AA4" s="47"/>
    </row>
    <row r="5" spans="1:28" ht="20.100000000000001" customHeight="1">
      <c r="A5" s="47"/>
      <c r="B5" s="86"/>
      <c r="C5" s="86"/>
      <c r="D5" s="86"/>
      <c r="E5" s="86"/>
      <c r="F5" s="83"/>
      <c r="G5" s="83"/>
      <c r="H5" s="187" t="str">
        <f>IFERROR(到期清單!A4,"")</f>
        <v>CI3A2261861848</v>
      </c>
      <c r="I5" s="185"/>
      <c r="J5" s="121">
        <f>IF(IFERROR(到期清單!B4,0)=0,"",到期清單!B4)</f>
        <v>46192</v>
      </c>
      <c r="K5" s="87">
        <f>IFERROR(到期清單!C4,"")</f>
        <v>28</v>
      </c>
      <c r="L5" s="187">
        <f>IFERROR(到期清單!A13,"")</f>
        <v>0</v>
      </c>
      <c r="M5" s="185"/>
      <c r="N5" s="121" t="str">
        <f>IF(IFERROR(到期清單!B19,0)=0,"",到期清單!B19)</f>
        <v/>
      </c>
      <c r="O5" s="87">
        <f>IFERROR(到期清單!C13,"")</f>
        <v>0</v>
      </c>
      <c r="P5" s="110"/>
      <c r="Q5" s="110"/>
      <c r="R5" s="110"/>
      <c r="AA5" s="47"/>
    </row>
    <row r="6" spans="1:28" ht="20.100000000000001" customHeight="1">
      <c r="A6" s="47"/>
      <c r="B6" s="86"/>
      <c r="C6" s="86"/>
      <c r="D6" s="86"/>
      <c r="E6" s="86"/>
      <c r="F6" s="83"/>
      <c r="G6" s="83"/>
      <c r="H6" s="187" t="str">
        <f>IFERROR(到期清單!A5,"")</f>
        <v>CI3A2261861890</v>
      </c>
      <c r="I6" s="185"/>
      <c r="J6" s="121">
        <f>IF(IFERROR(到期清單!B5,0)=0,"",到期清單!B5)</f>
        <v>46227</v>
      </c>
      <c r="K6" s="87">
        <f>IFERROR(到期清單!C5,"")</f>
        <v>63</v>
      </c>
      <c r="L6" s="187">
        <f>IFERROR(到期清單!A14,"")</f>
        <v>0</v>
      </c>
      <c r="M6" s="185"/>
      <c r="N6" s="121" t="str">
        <f>IF(IFERROR(到期清單!B20,0)=0,"",到期清單!B20)</f>
        <v/>
      </c>
      <c r="O6" s="87">
        <f>IFERROR(到期清單!C14,"")</f>
        <v>0</v>
      </c>
      <c r="P6" s="110"/>
      <c r="Q6" s="110"/>
      <c r="R6" s="110"/>
      <c r="AA6" s="47"/>
    </row>
    <row r="7" spans="1:28" ht="20.100000000000001" customHeight="1">
      <c r="A7" s="47"/>
      <c r="B7" s="86"/>
      <c r="C7" s="86"/>
      <c r="D7" s="86"/>
      <c r="E7" s="86"/>
      <c r="F7" s="83"/>
      <c r="G7" s="83"/>
      <c r="H7" s="187" t="str">
        <f>IFERROR(到期清單!A6,"")</f>
        <v>CI3A9261861510</v>
      </c>
      <c r="I7" s="185"/>
      <c r="J7" s="121">
        <f>IF(IFERROR(到期清單!B6,0)=0,"",到期清單!B6)</f>
        <v>46195</v>
      </c>
      <c r="K7" s="87">
        <f>IFERROR(到期清單!C6,"")</f>
        <v>31</v>
      </c>
      <c r="L7" s="187">
        <f>IFERROR(到期清單!A15,"")</f>
        <v>0</v>
      </c>
      <c r="M7" s="185"/>
      <c r="N7" s="121" t="str">
        <f>IF(IFERROR(到期清單!B21,0)=0,"",到期清單!B21)</f>
        <v/>
      </c>
      <c r="O7" s="87">
        <f>IFERROR(到期清單!C15,"")</f>
        <v>0</v>
      </c>
      <c r="P7" s="110"/>
      <c r="Q7" s="110"/>
      <c r="R7" s="110"/>
      <c r="AA7" s="47"/>
    </row>
    <row r="8" spans="1:28" ht="20.100000000000001" customHeight="1">
      <c r="A8" s="47"/>
      <c r="B8" s="86"/>
      <c r="C8" s="86"/>
      <c r="D8" s="86"/>
      <c r="E8" s="197">
        <f ca="1">圖表資料!B9</f>
        <v>66.000000000000014</v>
      </c>
      <c r="F8" s="194" t="s">
        <v>4</v>
      </c>
      <c r="G8" s="83"/>
      <c r="H8" s="187" t="str">
        <f>IFERROR(到期清單!A7,"")</f>
        <v>CI3A2261861917</v>
      </c>
      <c r="I8" s="185"/>
      <c r="J8" s="121">
        <f>IF(IFERROR(到期清單!B7,0)=0,"",到期清單!B7)</f>
        <v>46235</v>
      </c>
      <c r="K8" s="87">
        <f>IFERROR(到期清單!C7,"")</f>
        <v>71</v>
      </c>
      <c r="L8" s="187">
        <f>IFERROR(到期清單!A16,"")</f>
        <v>0</v>
      </c>
      <c r="M8" s="185"/>
      <c r="N8" s="121" t="str">
        <f>IF(IFERROR(到期清單!B22,0)=0,"",到期清單!B22)</f>
        <v/>
      </c>
      <c r="O8" s="87">
        <f>IFERROR(到期清單!C16,"")</f>
        <v>0</v>
      </c>
      <c r="P8" s="110"/>
      <c r="Q8" s="110"/>
      <c r="R8" s="110"/>
      <c r="AA8" s="47"/>
    </row>
    <row r="9" spans="1:28" ht="20.100000000000001" customHeight="1">
      <c r="A9" s="47"/>
      <c r="B9" s="86"/>
      <c r="C9" s="86"/>
      <c r="D9" s="86"/>
      <c r="E9" s="185"/>
      <c r="F9" s="185"/>
      <c r="G9" s="83"/>
      <c r="H9" s="187" t="str">
        <f>IFERROR(到期清單!A8,"")</f>
        <v>CI3A2261861928</v>
      </c>
      <c r="I9" s="185"/>
      <c r="J9" s="121">
        <f>IF(IFERROR(到期清單!B8,0)=0,"",到期清單!B8)</f>
        <v>46241</v>
      </c>
      <c r="K9" s="87">
        <f>IFERROR(到期清單!C8,"")</f>
        <v>77</v>
      </c>
      <c r="L9" s="187">
        <f>IFERROR(到期清單!A17,"")</f>
        <v>0</v>
      </c>
      <c r="M9" s="185"/>
      <c r="N9" s="121" t="str">
        <f>IF(IFERROR(到期清單!B23,0)=0,"",到期清單!B23)</f>
        <v/>
      </c>
      <c r="O9" s="87">
        <f>IFERROR(到期清單!C17,"")</f>
        <v>0</v>
      </c>
      <c r="P9" s="110"/>
      <c r="Q9" s="110"/>
      <c r="R9" s="110"/>
      <c r="AA9" s="47"/>
    </row>
    <row r="10" spans="1:28" ht="20.100000000000001" customHeight="1">
      <c r="A10" s="47"/>
      <c r="B10" s="86"/>
      <c r="C10" s="86"/>
      <c r="D10" s="86"/>
      <c r="E10" s="86"/>
      <c r="F10" s="84"/>
      <c r="G10" s="85"/>
      <c r="H10" s="187">
        <f>IFERROR(到期清單!A9,"")</f>
        <v>0</v>
      </c>
      <c r="I10" s="185"/>
      <c r="J10" s="121" t="str">
        <f>IF(IFERROR(到期清單!B9,0)=0,"",到期清單!B9)</f>
        <v/>
      </c>
      <c r="K10" s="87">
        <f>IFERROR(到期清單!C9,"")</f>
        <v>0</v>
      </c>
      <c r="L10" s="187">
        <f>IFERROR(到期清單!A18,"")</f>
        <v>0</v>
      </c>
      <c r="M10" s="185"/>
      <c r="N10" s="121" t="str">
        <f>IF(IFERROR(到期清單!B24,0)=0,"",到期清單!B24)</f>
        <v/>
      </c>
      <c r="O10" s="87">
        <f>IFERROR(到期清單!C18,"")</f>
        <v>0</v>
      </c>
      <c r="P10" s="110"/>
      <c r="Q10" s="110"/>
      <c r="R10" s="110"/>
      <c r="AA10" s="47"/>
    </row>
    <row r="11" spans="1:28" ht="20.100000000000001" customHeight="1">
      <c r="A11" s="47"/>
      <c r="B11" s="86"/>
      <c r="C11" s="86"/>
      <c r="D11" s="86"/>
      <c r="E11" s="86"/>
      <c r="F11" s="83"/>
      <c r="G11" s="83"/>
      <c r="H11" s="187">
        <f>IFERROR(到期清單!A10,"")</f>
        <v>0</v>
      </c>
      <c r="I11" s="185"/>
      <c r="J11" s="121" t="str">
        <f>IF(IFERROR(到期清單!B10,0)=0,"",到期清單!B10)</f>
        <v/>
      </c>
      <c r="K11" s="87">
        <f>IFERROR(到期清單!C10,"")</f>
        <v>0</v>
      </c>
      <c r="L11" s="187">
        <f>IFERROR(到期清單!A19,"")</f>
        <v>0</v>
      </c>
      <c r="M11" s="185"/>
      <c r="N11" s="121" t="str">
        <f>IF(IFERROR(到期清單!B25,0)=0,"",到期清單!B25)</f>
        <v/>
      </c>
      <c r="O11" s="87">
        <f>IFERROR(到期清單!C19,"")</f>
        <v>0</v>
      </c>
      <c r="P11" s="110"/>
      <c r="Q11" s="110"/>
      <c r="R11" s="110"/>
      <c r="AA11" s="47"/>
    </row>
    <row r="12" spans="1:28" ht="20.100000000000001" customHeight="1">
      <c r="A12" s="47"/>
      <c r="B12" s="86"/>
      <c r="C12" s="86"/>
      <c r="D12" s="86"/>
      <c r="E12" s="86"/>
      <c r="F12" s="83"/>
      <c r="G12" s="83"/>
      <c r="H12" s="187">
        <f>IFERROR(到期清單!A11,"")</f>
        <v>0</v>
      </c>
      <c r="I12" s="185"/>
      <c r="J12" s="121" t="str">
        <f>IF(IFERROR(到期清單!B11,0)=0,"",到期清單!B11)</f>
        <v/>
      </c>
      <c r="K12" s="87">
        <f>IFERROR(到期清單!C11,"")</f>
        <v>0</v>
      </c>
      <c r="L12" s="187">
        <f>IFERROR(到期清單!A20,"")</f>
        <v>0</v>
      </c>
      <c r="M12" s="185"/>
      <c r="N12" s="121" t="str">
        <f>IF(IFERROR(到期清單!B26,0)=0,"",到期清單!B26)</f>
        <v/>
      </c>
      <c r="O12" s="87">
        <f>IFERROR(到期清單!C20,"")</f>
        <v>0</v>
      </c>
      <c r="P12" s="110"/>
      <c r="Q12" s="110"/>
      <c r="R12" s="110"/>
      <c r="AA12" s="47"/>
    </row>
    <row r="13" spans="1:28" ht="24" customHeight="1">
      <c r="A13" s="47"/>
      <c r="B13" s="86"/>
      <c r="C13" s="86"/>
      <c r="D13" s="86"/>
      <c r="E13" s="86"/>
      <c r="F13" s="83"/>
      <c r="G13" s="83"/>
      <c r="H13" s="191" t="s">
        <v>5</v>
      </c>
      <c r="I13" s="185"/>
      <c r="J13" s="185"/>
      <c r="K13" s="185"/>
      <c r="L13" s="185"/>
      <c r="M13" s="185"/>
      <c r="N13" s="185"/>
      <c r="O13" s="185"/>
      <c r="P13" s="110"/>
      <c r="Q13" s="110"/>
      <c r="R13" s="110"/>
      <c r="AA13" s="47"/>
    </row>
    <row r="14" spans="1:28" ht="8.1" customHeight="1">
      <c r="A14" s="47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47"/>
      <c r="AB14" s="90"/>
    </row>
    <row r="15" spans="1:28" ht="8.1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90"/>
    </row>
    <row r="16" spans="1:28" ht="21.9" customHeight="1">
      <c r="A16" s="47"/>
      <c r="B16" s="110"/>
      <c r="C16" s="110"/>
      <c r="D16" s="110"/>
      <c r="G16" s="110"/>
      <c r="H16" s="186" t="s">
        <v>6</v>
      </c>
      <c r="I16" s="185"/>
      <c r="J16" s="185"/>
      <c r="K16" s="185"/>
      <c r="L16" s="110"/>
      <c r="M16" s="110"/>
      <c r="N16" s="89"/>
      <c r="O16" s="110"/>
      <c r="P16" s="110"/>
      <c r="Q16" s="110"/>
      <c r="V16" s="86"/>
      <c r="W16" s="110"/>
      <c r="X16" s="110"/>
      <c r="Y16" s="110"/>
      <c r="Z16" s="110"/>
      <c r="AA16" s="47"/>
    </row>
    <row r="17" spans="1:27" ht="20.100000000000001" customHeight="1">
      <c r="A17" s="47"/>
      <c r="B17" s="110"/>
      <c r="C17" s="110"/>
      <c r="D17" s="110"/>
      <c r="G17" s="110"/>
      <c r="H17" s="190" t="s">
        <v>1</v>
      </c>
      <c r="I17" s="185"/>
      <c r="J17" s="112" t="s">
        <v>2</v>
      </c>
      <c r="K17" s="112" t="s">
        <v>3</v>
      </c>
      <c r="L17" s="190" t="s">
        <v>1</v>
      </c>
      <c r="M17" s="185"/>
      <c r="N17" s="112" t="s">
        <v>2</v>
      </c>
      <c r="O17" s="112" t="s">
        <v>3</v>
      </c>
      <c r="P17" s="110"/>
      <c r="Q17" s="110"/>
      <c r="V17" s="110"/>
      <c r="W17" s="110"/>
      <c r="X17" s="110"/>
      <c r="Y17" s="110"/>
      <c r="Z17" s="110"/>
      <c r="AA17" s="47"/>
    </row>
    <row r="18" spans="1:27" ht="20.100000000000001" customHeight="1">
      <c r="A18" s="47"/>
      <c r="B18" s="110"/>
      <c r="C18" s="110"/>
      <c r="D18" s="110"/>
      <c r="G18" s="110"/>
      <c r="H18" s="187">
        <f>IFERROR(到期清單!F3,"")</f>
        <v>1110286</v>
      </c>
      <c r="I18" s="185"/>
      <c r="J18" s="121">
        <f>IF(IFERROR(到期清單!G3,0)=0,"",到期清單!G3)</f>
        <v>46165</v>
      </c>
      <c r="K18" s="88">
        <f>IFERROR(到期清單!H3,"")</f>
        <v>1</v>
      </c>
      <c r="L18" s="187">
        <f>IFERROR(到期清單!F12,"")</f>
        <v>0</v>
      </c>
      <c r="M18" s="185"/>
      <c r="N18" s="121" t="str">
        <f>IF(IFERROR(到期清單!K3,0)=0,"",到期清單!K3)</f>
        <v/>
      </c>
      <c r="O18" s="88">
        <f>IFERROR(到期清單!H12,"")</f>
        <v>0</v>
      </c>
      <c r="P18" s="110"/>
      <c r="Q18" s="110"/>
      <c r="V18" s="110"/>
      <c r="W18" s="110"/>
      <c r="X18" s="110"/>
      <c r="Y18" s="110"/>
      <c r="Z18" s="110"/>
      <c r="AA18" s="47"/>
    </row>
    <row r="19" spans="1:27" ht="20.100000000000001" customHeight="1">
      <c r="A19" s="47"/>
      <c r="B19" s="110"/>
      <c r="C19" s="110"/>
      <c r="D19" s="110"/>
      <c r="E19" s="110"/>
      <c r="F19" s="110"/>
      <c r="G19" s="110"/>
      <c r="H19" s="187">
        <f>IFERROR(到期清單!F4,"")</f>
        <v>0</v>
      </c>
      <c r="I19" s="185"/>
      <c r="J19" s="121" t="str">
        <f>IF(IFERROR(到期清單!G4,0)=0,"",到期清單!G4)</f>
        <v/>
      </c>
      <c r="K19" s="88">
        <f>IFERROR(到期清單!H4,"")</f>
        <v>0</v>
      </c>
      <c r="L19" s="187">
        <f>IFERROR(到期清單!F13,"")</f>
        <v>0</v>
      </c>
      <c r="M19" s="185"/>
      <c r="N19" s="121" t="str">
        <f>IF(IFERROR(到期清單!K4,0)=0,"",到期清單!K4)</f>
        <v/>
      </c>
      <c r="O19" s="88">
        <f>IFERROR(到期清單!H13,"")</f>
        <v>0</v>
      </c>
      <c r="P19" s="110"/>
      <c r="Q19" s="110"/>
      <c r="V19" s="110"/>
      <c r="W19" s="110"/>
      <c r="X19" s="110"/>
      <c r="Y19" s="110"/>
      <c r="Z19" s="110"/>
      <c r="AA19" s="47"/>
    </row>
    <row r="20" spans="1:27" ht="20.100000000000001" customHeight="1">
      <c r="A20" s="47"/>
      <c r="B20" s="110"/>
      <c r="C20" s="110"/>
      <c r="D20" s="110"/>
      <c r="E20" s="110"/>
      <c r="F20" s="110"/>
      <c r="G20" s="110"/>
      <c r="H20" s="187">
        <f>IFERROR(到期清單!F5,"")</f>
        <v>0</v>
      </c>
      <c r="I20" s="185"/>
      <c r="J20" s="121" t="str">
        <f>IF(IFERROR(到期清單!G5,0)=0,"",到期清單!G5)</f>
        <v/>
      </c>
      <c r="K20" s="88">
        <f>IFERROR(到期清單!H5,"")</f>
        <v>0</v>
      </c>
      <c r="L20" s="187">
        <f>IFERROR(到期清單!F14,"")</f>
        <v>0</v>
      </c>
      <c r="M20" s="185"/>
      <c r="N20" s="121" t="str">
        <f>IF(IFERROR(到期清單!K5,0)=0,"",到期清單!K5)</f>
        <v/>
      </c>
      <c r="O20" s="88">
        <f>IFERROR(到期清單!H14,"")</f>
        <v>0</v>
      </c>
      <c r="P20" s="110"/>
      <c r="Q20" s="110"/>
      <c r="V20" s="110"/>
      <c r="W20" s="110"/>
      <c r="X20" s="110"/>
      <c r="Y20" s="110"/>
      <c r="Z20" s="110"/>
      <c r="AA20" s="47"/>
    </row>
    <row r="21" spans="1:27" ht="20.100000000000001" customHeight="1">
      <c r="A21" s="47"/>
      <c r="B21" s="110"/>
      <c r="C21" s="110"/>
      <c r="D21" s="110"/>
      <c r="G21" s="110"/>
      <c r="H21" s="187">
        <f>IFERROR(到期清單!F6,"")</f>
        <v>0</v>
      </c>
      <c r="I21" s="185"/>
      <c r="J21" s="121" t="str">
        <f>IF(IFERROR(到期清單!G6,0)=0,"",到期清單!G6)</f>
        <v/>
      </c>
      <c r="K21" s="88">
        <f>IFERROR(到期清單!H6,"")</f>
        <v>0</v>
      </c>
      <c r="L21" s="187">
        <f>IFERROR(到期清單!F15,"")</f>
        <v>0</v>
      </c>
      <c r="M21" s="185"/>
      <c r="N21" s="121" t="str">
        <f>IF(IFERROR(到期清單!K6,0)=0,"",到期清單!K6)</f>
        <v/>
      </c>
      <c r="O21" s="88">
        <f>IFERROR(到期清單!H15,"")</f>
        <v>0</v>
      </c>
      <c r="P21" s="110"/>
      <c r="Q21" s="110"/>
      <c r="V21" s="110"/>
      <c r="W21" s="110"/>
      <c r="X21" s="110"/>
      <c r="Y21" s="110"/>
      <c r="Z21" s="110"/>
      <c r="AA21" s="47"/>
    </row>
    <row r="22" spans="1:27" ht="20.100000000000001" customHeight="1">
      <c r="A22" s="47"/>
      <c r="B22" s="110"/>
      <c r="C22" s="110"/>
      <c r="D22" s="110"/>
      <c r="E22" s="188">
        <f ca="1">圖表資料!E9</f>
        <v>30.999999999999989</v>
      </c>
      <c r="F22" s="195" t="s">
        <v>4</v>
      </c>
      <c r="G22" s="110"/>
      <c r="H22" s="187">
        <f>IFERROR(到期清單!F7,"")</f>
        <v>0</v>
      </c>
      <c r="I22" s="185"/>
      <c r="J22" s="121" t="str">
        <f>IF(IFERROR(到期清單!G7,0)=0,"",到期清單!G7)</f>
        <v/>
      </c>
      <c r="K22" s="88">
        <f>IFERROR(到期清單!H7,"")</f>
        <v>0</v>
      </c>
      <c r="L22" s="187">
        <f>IFERROR(到期清單!F16,"")</f>
        <v>0</v>
      </c>
      <c r="M22" s="185"/>
      <c r="N22" s="121" t="str">
        <f>IF(IFERROR(到期清單!K7,0)=0,"",到期清單!K7)</f>
        <v/>
      </c>
      <c r="O22" s="88">
        <f>IFERROR(到期清單!H16,"")</f>
        <v>0</v>
      </c>
      <c r="P22" s="110"/>
      <c r="Q22" s="110"/>
      <c r="V22" s="110"/>
      <c r="W22" s="110"/>
      <c r="X22" s="110"/>
      <c r="Y22" s="110"/>
      <c r="Z22" s="110"/>
      <c r="AA22" s="47"/>
    </row>
    <row r="23" spans="1:27" ht="20.100000000000001" customHeight="1">
      <c r="A23" s="47"/>
      <c r="B23" s="110"/>
      <c r="C23" s="110"/>
      <c r="D23" s="110"/>
      <c r="E23" s="185"/>
      <c r="F23" s="185"/>
      <c r="G23" s="110"/>
      <c r="H23" s="187">
        <f>IFERROR(到期清單!F8,"")</f>
        <v>0</v>
      </c>
      <c r="I23" s="185"/>
      <c r="J23" s="121" t="str">
        <f>IF(IFERROR(到期清單!G8,0)=0,"",到期清單!G8)</f>
        <v/>
      </c>
      <c r="K23" s="88">
        <f>IFERROR(到期清單!H8,"")</f>
        <v>0</v>
      </c>
      <c r="L23" s="187">
        <f>IFERROR(到期清單!F17,"")</f>
        <v>0</v>
      </c>
      <c r="M23" s="185"/>
      <c r="N23" s="121" t="str">
        <f>IF(IFERROR(到期清單!K8,0)=0,"",到期清單!K8)</f>
        <v/>
      </c>
      <c r="O23" s="88">
        <f>IFERROR(到期清單!H17,"")</f>
        <v>0</v>
      </c>
      <c r="P23" s="110"/>
      <c r="Q23" s="110"/>
      <c r="V23" s="110"/>
      <c r="W23" s="110"/>
      <c r="X23" s="110"/>
      <c r="Y23" s="110"/>
      <c r="Z23" s="110"/>
      <c r="AA23" s="47"/>
    </row>
    <row r="24" spans="1:27" ht="20.100000000000001" customHeight="1">
      <c r="A24" s="47"/>
      <c r="B24" s="110"/>
      <c r="C24" s="110"/>
      <c r="D24" s="110"/>
      <c r="G24" s="110"/>
      <c r="H24" s="187">
        <f>IFERROR(到期清單!F9,"")</f>
        <v>0</v>
      </c>
      <c r="I24" s="185"/>
      <c r="J24" s="121" t="str">
        <f>IF(IFERROR(到期清單!G9,0)=0,"",到期清單!G9)</f>
        <v/>
      </c>
      <c r="K24" s="88">
        <f>IFERROR(到期清單!H9,"")</f>
        <v>0</v>
      </c>
      <c r="L24" s="187">
        <f>IFERROR(到期清單!F18,"")</f>
        <v>0</v>
      </c>
      <c r="M24" s="185"/>
      <c r="N24" s="121" t="str">
        <f>IF(IFERROR(到期清單!K9,0)=0,"",到期清單!K9)</f>
        <v/>
      </c>
      <c r="O24" s="88">
        <f>IFERROR(到期清單!H18,"")</f>
        <v>0</v>
      </c>
      <c r="P24" s="110"/>
      <c r="Q24" s="110"/>
      <c r="V24" s="110"/>
      <c r="W24" s="110"/>
      <c r="X24" s="110"/>
      <c r="Y24" s="110"/>
      <c r="Z24" s="110"/>
      <c r="AA24" s="47"/>
    </row>
    <row r="25" spans="1:27" ht="20.100000000000001" customHeight="1">
      <c r="A25" s="47"/>
      <c r="B25" s="110"/>
      <c r="C25" s="110"/>
      <c r="D25" s="110"/>
      <c r="E25" s="110"/>
      <c r="F25" s="110"/>
      <c r="G25" s="110"/>
      <c r="H25" s="187">
        <f>IFERROR(到期清單!F10,"")</f>
        <v>0</v>
      </c>
      <c r="I25" s="185"/>
      <c r="J25" s="121" t="str">
        <f>IF(IFERROR(到期清單!G10,0)=0,"",到期清單!G10)</f>
        <v/>
      </c>
      <c r="K25" s="88">
        <f>IFERROR(到期清單!H10,"")</f>
        <v>0</v>
      </c>
      <c r="L25" s="187">
        <f>IFERROR(到期清單!F19,"")</f>
        <v>0</v>
      </c>
      <c r="M25" s="185"/>
      <c r="N25" s="121" t="str">
        <f>IF(IFERROR(到期清單!K10,0)=0,"",到期清單!K10)</f>
        <v/>
      </c>
      <c r="O25" s="88">
        <f>IFERROR(到期清單!H19,"")</f>
        <v>0</v>
      </c>
      <c r="P25" s="110"/>
      <c r="Q25" s="110"/>
      <c r="V25" s="110"/>
      <c r="W25" s="110"/>
      <c r="X25" s="110"/>
      <c r="Y25" s="110"/>
      <c r="Z25" s="110"/>
      <c r="AA25" s="47"/>
    </row>
    <row r="26" spans="1:27" ht="20.100000000000001" customHeight="1">
      <c r="A26" s="47"/>
      <c r="B26" s="110"/>
      <c r="C26" s="110"/>
      <c r="D26" s="110"/>
      <c r="E26" s="110"/>
      <c r="F26" s="110"/>
      <c r="G26" s="110"/>
      <c r="H26" s="187">
        <f>IFERROR(到期清單!F11,"")</f>
        <v>0</v>
      </c>
      <c r="I26" s="185"/>
      <c r="J26" s="121" t="str">
        <f>IF(IFERROR(到期清單!G11,0)=0,"",到期清單!G11)</f>
        <v/>
      </c>
      <c r="K26" s="88">
        <f>IFERROR(到期清單!H11,"")</f>
        <v>0</v>
      </c>
      <c r="L26" s="187">
        <f>IFERROR(到期清單!F20,"")</f>
        <v>0</v>
      </c>
      <c r="M26" s="185"/>
      <c r="N26" s="121" t="str">
        <f>IF(IFERROR(到期清單!K11,0)=0,"",到期清單!K11)</f>
        <v/>
      </c>
      <c r="O26" s="88">
        <f>IFERROR(到期清單!H20,"")</f>
        <v>0</v>
      </c>
      <c r="P26" s="110"/>
      <c r="Q26" s="110"/>
      <c r="V26" s="110"/>
      <c r="W26" s="110"/>
      <c r="X26" s="110"/>
      <c r="Y26" s="110"/>
      <c r="Z26" s="110"/>
      <c r="AA26" s="47"/>
    </row>
    <row r="27" spans="1:27" ht="24" customHeight="1">
      <c r="A27" s="47"/>
      <c r="B27" s="110"/>
      <c r="C27" s="110"/>
      <c r="D27" s="110"/>
      <c r="E27" s="110"/>
      <c r="F27" s="110"/>
      <c r="G27" s="110"/>
      <c r="H27" s="191"/>
      <c r="I27" s="185"/>
      <c r="J27" s="185"/>
      <c r="K27" s="185"/>
      <c r="L27" s="110"/>
      <c r="M27" s="110"/>
      <c r="N27" s="110"/>
      <c r="O27" s="110"/>
      <c r="P27" s="110"/>
      <c r="Q27" s="110"/>
      <c r="V27" s="110"/>
      <c r="W27" s="110"/>
      <c r="X27" s="110"/>
      <c r="Y27" s="110"/>
      <c r="Z27" s="110"/>
      <c r="AA27" s="47"/>
    </row>
    <row r="28" spans="1:27" ht="9" customHeight="1">
      <c r="A28" s="47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47"/>
    </row>
    <row r="29" spans="1:27" ht="9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27" ht="18" customHeight="1">
      <c r="A30" s="47"/>
      <c r="B30" s="93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84"/>
      <c r="S30" s="185"/>
      <c r="T30" s="185"/>
      <c r="U30" s="185"/>
      <c r="V30" s="185"/>
      <c r="W30" s="185"/>
      <c r="X30" s="185"/>
      <c r="Y30" s="185"/>
      <c r="Z30" s="185"/>
      <c r="AA30" s="47"/>
    </row>
    <row r="31" spans="1:27" ht="18" customHeight="1">
      <c r="A31" s="47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85"/>
      <c r="S31" s="185"/>
      <c r="T31" s="185"/>
      <c r="U31" s="185"/>
      <c r="V31" s="185"/>
      <c r="W31" s="185"/>
      <c r="X31" s="185"/>
      <c r="Y31" s="185"/>
      <c r="Z31" s="185"/>
      <c r="AA31" s="47"/>
    </row>
    <row r="32" spans="1:27" ht="18" customHeight="1">
      <c r="A32" s="47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85"/>
      <c r="S32" s="185"/>
      <c r="T32" s="185"/>
      <c r="U32" s="185"/>
      <c r="V32" s="185"/>
      <c r="W32" s="185"/>
      <c r="X32" s="185"/>
      <c r="Y32" s="185"/>
      <c r="Z32" s="185"/>
      <c r="AA32" s="47"/>
    </row>
    <row r="33" spans="1:27" ht="18" customHeight="1">
      <c r="A33" s="47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85"/>
      <c r="S33" s="185"/>
      <c r="T33" s="185"/>
      <c r="U33" s="185"/>
      <c r="V33" s="185"/>
      <c r="W33" s="185"/>
      <c r="X33" s="185"/>
      <c r="Y33" s="185"/>
      <c r="Z33" s="185"/>
      <c r="AA33" s="47"/>
    </row>
    <row r="34" spans="1:27" ht="18" customHeight="1">
      <c r="A34" s="47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85"/>
      <c r="S34" s="185"/>
      <c r="T34" s="185"/>
      <c r="U34" s="185"/>
      <c r="V34" s="185"/>
      <c r="W34" s="185"/>
      <c r="X34" s="185"/>
      <c r="Y34" s="185"/>
      <c r="Z34" s="185"/>
      <c r="AA34" s="47"/>
    </row>
    <row r="35" spans="1:27" ht="18" customHeight="1">
      <c r="A35" s="47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85"/>
      <c r="S35" s="185"/>
      <c r="T35" s="185"/>
      <c r="U35" s="185"/>
      <c r="V35" s="185"/>
      <c r="W35" s="185"/>
      <c r="X35" s="185"/>
      <c r="Y35" s="185"/>
      <c r="Z35" s="185"/>
      <c r="AA35" s="47"/>
    </row>
    <row r="36" spans="1:27" ht="18" customHeight="1">
      <c r="A36" s="47"/>
      <c r="B36" s="110"/>
      <c r="C36" s="110"/>
      <c r="D36" s="110"/>
      <c r="E36" s="193">
        <f ca="1">圖表資料!J33</f>
        <v>0.69672131147540983</v>
      </c>
      <c r="F36" s="185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85"/>
      <c r="S36" s="185"/>
      <c r="T36" s="185"/>
      <c r="U36" s="185"/>
      <c r="V36" s="185"/>
      <c r="W36" s="185"/>
      <c r="X36" s="185"/>
      <c r="Y36" s="185"/>
      <c r="Z36" s="185"/>
      <c r="AA36" s="47"/>
    </row>
    <row r="37" spans="1:27" ht="18" customHeight="1">
      <c r="A37" s="47"/>
      <c r="B37" s="110"/>
      <c r="C37" s="110"/>
      <c r="D37" s="110"/>
      <c r="E37" s="185"/>
      <c r="F37" s="185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85"/>
      <c r="S37" s="185"/>
      <c r="T37" s="185"/>
      <c r="U37" s="185"/>
      <c r="V37" s="185"/>
      <c r="W37" s="185"/>
      <c r="X37" s="185"/>
      <c r="Y37" s="185"/>
      <c r="Z37" s="185"/>
      <c r="AA37" s="47"/>
    </row>
    <row r="38" spans="1:27" ht="18" customHeight="1">
      <c r="A38" s="47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85"/>
      <c r="S38" s="185"/>
      <c r="T38" s="185"/>
      <c r="U38" s="185"/>
      <c r="V38" s="185"/>
      <c r="W38" s="185"/>
      <c r="X38" s="185"/>
      <c r="Y38" s="185"/>
      <c r="Z38" s="185"/>
      <c r="AA38" s="47"/>
    </row>
    <row r="39" spans="1:27" ht="18" customHeight="1">
      <c r="A39" s="47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85"/>
      <c r="S39" s="185"/>
      <c r="T39" s="185"/>
      <c r="U39" s="185"/>
      <c r="V39" s="185"/>
      <c r="W39" s="185"/>
      <c r="X39" s="185"/>
      <c r="Y39" s="185"/>
      <c r="Z39" s="185"/>
      <c r="AA39" s="47"/>
    </row>
    <row r="40" spans="1:27" ht="18" customHeight="1">
      <c r="A40" s="47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85"/>
      <c r="S40" s="185"/>
      <c r="T40" s="185"/>
      <c r="U40" s="185"/>
      <c r="V40" s="185"/>
      <c r="W40" s="185"/>
      <c r="X40" s="185"/>
      <c r="Y40" s="185"/>
      <c r="Z40" s="185"/>
      <c r="AA40" s="47"/>
    </row>
    <row r="41" spans="1:27" ht="18" customHeight="1">
      <c r="A41" s="47"/>
      <c r="B41" s="110"/>
      <c r="C41" s="110"/>
      <c r="D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85"/>
      <c r="S41" s="185"/>
      <c r="T41" s="185"/>
      <c r="U41" s="185"/>
      <c r="V41" s="185"/>
      <c r="W41" s="185"/>
      <c r="X41" s="185"/>
      <c r="Y41" s="185"/>
      <c r="Z41" s="185"/>
      <c r="AA41" s="47"/>
    </row>
    <row r="42" spans="1:27" ht="18" customHeight="1">
      <c r="A42" s="47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85"/>
      <c r="S42" s="185"/>
      <c r="T42" s="185"/>
      <c r="U42" s="185"/>
      <c r="V42" s="185"/>
      <c r="W42" s="185"/>
      <c r="X42" s="185"/>
      <c r="Y42" s="185"/>
      <c r="Z42" s="185"/>
      <c r="AA42" s="47"/>
    </row>
    <row r="43" spans="1:27" ht="18" customHeight="1">
      <c r="A43" s="47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85"/>
      <c r="S43" s="185"/>
      <c r="T43" s="185"/>
      <c r="U43" s="185"/>
      <c r="V43" s="185"/>
      <c r="W43" s="185"/>
      <c r="X43" s="185"/>
      <c r="Y43" s="185"/>
      <c r="Z43" s="185"/>
      <c r="AA43" s="47"/>
    </row>
    <row r="44" spans="1:27" ht="18" customHeight="1">
      <c r="A44" s="47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85"/>
      <c r="S44" s="185"/>
      <c r="T44" s="185"/>
      <c r="U44" s="185"/>
      <c r="V44" s="185"/>
      <c r="W44" s="185"/>
      <c r="X44" s="185"/>
      <c r="Y44" s="185"/>
      <c r="Z44" s="185"/>
      <c r="AA44" s="47"/>
    </row>
    <row r="45" spans="1:27" ht="18" customHeight="1">
      <c r="A45" s="47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85"/>
      <c r="S45" s="185"/>
      <c r="T45" s="185"/>
      <c r="U45" s="185"/>
      <c r="V45" s="185"/>
      <c r="W45" s="185"/>
      <c r="X45" s="185"/>
      <c r="Y45" s="185"/>
      <c r="Z45" s="185"/>
      <c r="AA45" s="47"/>
    </row>
    <row r="46" spans="1:27" ht="18" customHeight="1">
      <c r="A46" s="47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85"/>
      <c r="S46" s="185"/>
      <c r="T46" s="185"/>
      <c r="U46" s="185"/>
      <c r="V46" s="185"/>
      <c r="W46" s="185"/>
      <c r="X46" s="185"/>
      <c r="Y46" s="185"/>
      <c r="Z46" s="185"/>
      <c r="AA46" s="47"/>
    </row>
    <row r="47" spans="1:27" ht="9.9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spans="1:27" ht="18" customHeight="1">
      <c r="A48" s="47"/>
      <c r="B48" s="196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47"/>
    </row>
    <row r="49" spans="1:27" ht="18" customHeight="1">
      <c r="A49" s="47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47"/>
    </row>
    <row r="50" spans="1:27" ht="18" customHeight="1">
      <c r="A50" s="47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47"/>
    </row>
    <row r="51" spans="1:27" ht="18" customHeight="1">
      <c r="A51" s="47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47"/>
    </row>
    <row r="52" spans="1:27" ht="18" customHeight="1">
      <c r="A52" s="47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47"/>
    </row>
    <row r="53" spans="1:27" ht="18" customHeight="1">
      <c r="A53" s="47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47"/>
    </row>
    <row r="54" spans="1:27" ht="18" customHeight="1">
      <c r="A54" s="47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47"/>
    </row>
    <row r="55" spans="1:27" ht="18" customHeight="1">
      <c r="A55" s="47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47"/>
    </row>
    <row r="56" spans="1:27" ht="18" customHeight="1">
      <c r="A56" s="47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47"/>
    </row>
    <row r="57" spans="1:27" ht="18" customHeight="1">
      <c r="A57" s="47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47"/>
    </row>
    <row r="58" spans="1:27" ht="18" customHeight="1">
      <c r="A58" s="47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47"/>
    </row>
    <row r="59" spans="1:27" ht="18" customHeight="1">
      <c r="A59" s="47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47"/>
    </row>
    <row r="60" spans="1:27" ht="18" customHeight="1">
      <c r="A60" s="47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47"/>
    </row>
    <row r="61" spans="1:27" ht="18" customHeight="1">
      <c r="A61" s="47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47"/>
    </row>
    <row r="62" spans="1:27" ht="18" customHeight="1">
      <c r="A62" s="47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47"/>
    </row>
    <row r="63" spans="1:27" ht="18" customHeight="1">
      <c r="A63" s="47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47"/>
    </row>
    <row r="64" spans="1:27" ht="18" customHeight="1">
      <c r="A64" s="47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47"/>
    </row>
    <row r="65" spans="1:27" ht="9.9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spans="1:27" ht="20.100000000000001" customHeight="1">
      <c r="A66" s="192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</row>
    <row r="67" spans="1:27" ht="18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spans="1:27" ht="18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spans="1:27" ht="18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spans="1:27" ht="18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spans="1:27" ht="18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spans="1:27" ht="18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spans="1:27" ht="18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spans="1:27" ht="18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spans="1:27" ht="18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spans="1:27" ht="18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spans="1:27" ht="18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spans="1:27" ht="18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spans="1:27" ht="18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spans="1:27" ht="18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spans="1:27" ht="18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spans="1:27" ht="18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spans="1:27" ht="18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spans="1:27" ht="18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spans="1:27" ht="18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spans="1:27" ht="18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spans="1:27" ht="18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spans="1:27" ht="18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spans="1:27" ht="18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spans="1:27" ht="18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spans="1:27" ht="18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spans="1:27" ht="18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spans="1:27" ht="18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spans="1:27" ht="18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spans="1:27" ht="18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spans="1:27" ht="18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spans="1:27" ht="18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spans="1:27" ht="18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spans="1:27" ht="18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spans="1:27" ht="18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spans="1:27" ht="18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spans="1:27" ht="18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spans="1:27" ht="18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spans="1:27" ht="18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spans="1:27" ht="18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spans="1:27" ht="18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spans="1:27" ht="18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</sheetData>
  <mergeCells count="53">
    <mergeCell ref="B48:Z64"/>
    <mergeCell ref="L17:M17"/>
    <mergeCell ref="H20:I20"/>
    <mergeCell ref="L7:M7"/>
    <mergeCell ref="H27:K27"/>
    <mergeCell ref="E8:E9"/>
    <mergeCell ref="H10:I10"/>
    <mergeCell ref="L19:M19"/>
    <mergeCell ref="H12:I12"/>
    <mergeCell ref="L21:M21"/>
    <mergeCell ref="H3:I3"/>
    <mergeCell ref="H4:I4"/>
    <mergeCell ref="A66:AA66"/>
    <mergeCell ref="H9:I9"/>
    <mergeCell ref="L3:M3"/>
    <mergeCell ref="H25:I25"/>
    <mergeCell ref="H21:I21"/>
    <mergeCell ref="L12:M12"/>
    <mergeCell ref="H6:I6"/>
    <mergeCell ref="E36:F37"/>
    <mergeCell ref="F8:F9"/>
    <mergeCell ref="F22:F23"/>
    <mergeCell ref="L24:M24"/>
    <mergeCell ref="L18:M18"/>
    <mergeCell ref="L26:M26"/>
    <mergeCell ref="L25:M25"/>
    <mergeCell ref="E22:E23"/>
    <mergeCell ref="H2:K2"/>
    <mergeCell ref="L2:O2"/>
    <mergeCell ref="L5:M5"/>
    <mergeCell ref="L23:M23"/>
    <mergeCell ref="L8:M8"/>
    <mergeCell ref="H17:I17"/>
    <mergeCell ref="H11:I11"/>
    <mergeCell ref="L4:M4"/>
    <mergeCell ref="L20:M20"/>
    <mergeCell ref="H7:I7"/>
    <mergeCell ref="L10:M10"/>
    <mergeCell ref="H19:I19"/>
    <mergeCell ref="H22:I22"/>
    <mergeCell ref="H13:O13"/>
    <mergeCell ref="L22:M22"/>
    <mergeCell ref="R30:Z46"/>
    <mergeCell ref="H16:K16"/>
    <mergeCell ref="H23:I23"/>
    <mergeCell ref="L11:M11"/>
    <mergeCell ref="H5:I5"/>
    <mergeCell ref="H8:I8"/>
    <mergeCell ref="H26:I26"/>
    <mergeCell ref="L6:M6"/>
    <mergeCell ref="H24:I24"/>
    <mergeCell ref="H18:I18"/>
    <mergeCell ref="L9:M9"/>
  </mergeCells>
  <phoneticPr fontId="5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AQ235"/>
  <sheetViews>
    <sheetView tabSelected="1" zoomScale="85" zoomScaleNormal="85" workbookViewId="0">
      <pane ySplit="2" topLeftCell="A3" activePane="bottomLeft" state="frozen"/>
      <selection pane="bottomLeft" activeCell="I147" sqref="I147"/>
    </sheetView>
  </sheetViews>
  <sheetFormatPr defaultColWidth="8.88671875" defaultRowHeight="15.6"/>
  <cols>
    <col min="1" max="2" width="8.88671875" style="119" customWidth="1"/>
    <col min="3" max="3" width="19.44140625" style="118" bestFit="1" customWidth="1"/>
    <col min="4" max="4" width="17.109375" style="118" customWidth="1"/>
    <col min="5" max="5" width="8.88671875" style="118" customWidth="1"/>
    <col min="6" max="6" width="22.109375" style="118" customWidth="1"/>
    <col min="7" max="7" width="14.33203125" style="118" customWidth="1"/>
    <col min="8" max="13" width="13" style="118" customWidth="1"/>
    <col min="14" max="14" width="19.21875" style="118" customWidth="1"/>
    <col min="15" max="15" width="20.21875" style="119" bestFit="1" customWidth="1"/>
    <col min="16" max="25" width="13" style="118" customWidth="1"/>
    <col min="26" max="26" width="12.88671875" style="122" bestFit="1" customWidth="1"/>
    <col min="27" max="28" width="13" style="118" customWidth="1"/>
    <col min="29" max="29" width="12.44140625" style="118" customWidth="1"/>
    <col min="30" max="30" width="14.33203125" style="118" customWidth="1"/>
    <col min="31" max="31" width="17.109375" style="118" customWidth="1"/>
    <col min="32" max="32" width="8.88671875" style="118" customWidth="1"/>
    <col min="33" max="33" width="15.33203125" style="119" bestFit="1" customWidth="1"/>
    <col min="34" max="35" width="19.88671875" style="119" bestFit="1" customWidth="1"/>
    <col min="36" max="41" width="8.88671875" style="119" customWidth="1"/>
    <col min="42" max="42" width="23" style="119" bestFit="1" customWidth="1"/>
    <col min="43" max="43" width="10" style="119" bestFit="1" customWidth="1"/>
    <col min="44" max="48" width="8.88671875" style="119" customWidth="1"/>
    <col min="49" max="16384" width="8.88671875" style="119"/>
  </cols>
  <sheetData>
    <row r="1" spans="1:43" s="36" customFormat="1" ht="28.2" customHeight="1" thickBot="1">
      <c r="A1" s="198" t="s">
        <v>7</v>
      </c>
      <c r="B1" s="200" t="s">
        <v>8</v>
      </c>
      <c r="C1" s="198" t="s">
        <v>9</v>
      </c>
      <c r="D1" s="198" t="s">
        <v>10</v>
      </c>
      <c r="E1" s="200" t="s">
        <v>11</v>
      </c>
      <c r="F1" s="198" t="s">
        <v>12</v>
      </c>
      <c r="G1" s="198" t="s">
        <v>13</v>
      </c>
      <c r="H1" s="209" t="s">
        <v>14</v>
      </c>
      <c r="I1" s="212" t="s">
        <v>15</v>
      </c>
      <c r="J1" s="210" t="s">
        <v>16</v>
      </c>
      <c r="K1" s="33" t="s">
        <v>17</v>
      </c>
      <c r="L1" s="33" t="s">
        <v>17</v>
      </c>
      <c r="M1" s="33" t="s">
        <v>17</v>
      </c>
      <c r="N1" s="40" t="s">
        <v>18</v>
      </c>
      <c r="O1" s="211" t="s">
        <v>9</v>
      </c>
      <c r="P1" s="204" t="s">
        <v>19</v>
      </c>
      <c r="Q1" s="205"/>
      <c r="R1" s="204" t="s">
        <v>20</v>
      </c>
      <c r="S1" s="205"/>
      <c r="T1" s="204" t="s">
        <v>21</v>
      </c>
      <c r="U1" s="205"/>
      <c r="V1" s="204" t="s">
        <v>22</v>
      </c>
      <c r="W1" s="205"/>
      <c r="X1" s="208" t="s">
        <v>23</v>
      </c>
      <c r="Y1" s="205"/>
      <c r="Z1" s="207" t="s">
        <v>24</v>
      </c>
      <c r="AA1" s="200" t="s">
        <v>25</v>
      </c>
      <c r="AB1" s="200" t="s">
        <v>26</v>
      </c>
      <c r="AC1" s="34" t="s">
        <v>27</v>
      </c>
      <c r="AD1" s="34" t="s">
        <v>28</v>
      </c>
      <c r="AE1" s="34" t="s">
        <v>9</v>
      </c>
      <c r="AF1" s="123" t="s">
        <v>3</v>
      </c>
      <c r="AG1" s="45" t="s">
        <v>29</v>
      </c>
      <c r="AH1" s="46" t="s">
        <v>9</v>
      </c>
      <c r="AI1" s="46" t="s">
        <v>30</v>
      </c>
      <c r="AJ1" s="35"/>
      <c r="AK1" s="35"/>
      <c r="AL1" s="35"/>
      <c r="AM1" s="35"/>
    </row>
    <row r="2" spans="1:43" s="36" customFormat="1" ht="16.95" customHeight="1">
      <c r="A2" s="199"/>
      <c r="B2" s="199"/>
      <c r="C2" s="199"/>
      <c r="D2" s="199"/>
      <c r="E2" s="199"/>
      <c r="F2" s="199"/>
      <c r="G2" s="199"/>
      <c r="H2" s="199"/>
      <c r="I2" s="213"/>
      <c r="J2" s="201"/>
      <c r="M2" s="124"/>
      <c r="N2" s="41" t="s">
        <v>31</v>
      </c>
      <c r="O2" s="199"/>
      <c r="P2" s="42" t="s">
        <v>32</v>
      </c>
      <c r="Q2" s="42" t="s">
        <v>33</v>
      </c>
      <c r="R2" s="42" t="s">
        <v>32</v>
      </c>
      <c r="S2" s="42" t="s">
        <v>33</v>
      </c>
      <c r="T2" s="42" t="s">
        <v>32</v>
      </c>
      <c r="U2" s="42" t="s">
        <v>33</v>
      </c>
      <c r="V2" s="42" t="s">
        <v>32</v>
      </c>
      <c r="W2" s="42" t="s">
        <v>33</v>
      </c>
      <c r="X2" s="42" t="s">
        <v>32</v>
      </c>
      <c r="Y2" s="42" t="s">
        <v>33</v>
      </c>
      <c r="Z2" s="199"/>
      <c r="AA2" s="199"/>
      <c r="AB2" s="199"/>
      <c r="AE2" s="124"/>
      <c r="AF2" s="125"/>
      <c r="AG2" s="39"/>
      <c r="AH2" s="39"/>
      <c r="AI2" s="39"/>
      <c r="AP2" s="36" t="s">
        <v>34</v>
      </c>
      <c r="AQ2" s="36" t="e">
        <f ca="1">SUM(IF((G3:G131&gt;=TODAY())*(F3:F131&lt;&gt;""), 1/COUNTIFS(F3:F131, F3:F131, G3:G131, "&gt;="&amp;TODAY())))</f>
        <v>#VALUE!</v>
      </c>
    </row>
    <row r="3" spans="1:43">
      <c r="A3" s="114" t="s">
        <v>35</v>
      </c>
      <c r="B3" s="98" t="s">
        <v>36</v>
      </c>
      <c r="C3" s="99" t="s">
        <v>37</v>
      </c>
      <c r="D3" s="114" t="s">
        <v>38</v>
      </c>
      <c r="E3" s="114"/>
      <c r="F3" s="111" t="s">
        <v>39</v>
      </c>
      <c r="G3" s="100">
        <v>46738</v>
      </c>
      <c r="H3" s="126"/>
      <c r="I3" s="101"/>
      <c r="J3" s="127"/>
      <c r="K3" s="127"/>
      <c r="L3" s="127"/>
      <c r="M3" s="127"/>
      <c r="N3" s="102" t="s">
        <v>40</v>
      </c>
      <c r="O3" s="114" t="s">
        <v>37</v>
      </c>
      <c r="P3" s="114">
        <v>3.5209999999999999</v>
      </c>
      <c r="Q3" s="128">
        <v>3.5</v>
      </c>
      <c r="R3" s="114">
        <v>1.6859999999999999</v>
      </c>
      <c r="S3" s="128">
        <v>1.75</v>
      </c>
      <c r="T3" s="114">
        <v>772</v>
      </c>
      <c r="U3" s="114">
        <v>780</v>
      </c>
      <c r="V3" s="114">
        <v>274</v>
      </c>
      <c r="W3" s="114">
        <v>280</v>
      </c>
      <c r="X3" s="114">
        <v>6.48</v>
      </c>
      <c r="Y3" s="114">
        <v>6.53</v>
      </c>
      <c r="Z3" s="129">
        <f t="shared" ref="Z3:Z34" si="0">X3/Y3</f>
        <v>0.992343032159265</v>
      </c>
      <c r="AA3" s="114"/>
      <c r="AB3" s="103"/>
      <c r="AC3" s="111" t="s">
        <v>41</v>
      </c>
      <c r="AD3" s="100">
        <v>46512</v>
      </c>
      <c r="AE3" s="111" t="s">
        <v>37</v>
      </c>
      <c r="AF3" s="104"/>
      <c r="AG3" s="114" t="s">
        <v>42</v>
      </c>
      <c r="AH3" s="114" t="s">
        <v>37</v>
      </c>
      <c r="AI3" s="114" t="s">
        <v>43</v>
      </c>
      <c r="AJ3" s="105"/>
      <c r="AK3" s="106"/>
      <c r="AL3" s="114"/>
      <c r="AM3" s="114"/>
    </row>
    <row r="4" spans="1:43" ht="16.95" customHeight="1">
      <c r="A4" s="114" t="s">
        <v>35</v>
      </c>
      <c r="B4" s="98" t="s">
        <v>36</v>
      </c>
      <c r="C4" s="114" t="s">
        <v>44</v>
      </c>
      <c r="D4" s="114" t="s">
        <v>45</v>
      </c>
      <c r="E4" s="114"/>
      <c r="F4" s="233" t="s">
        <v>46</v>
      </c>
      <c r="G4" s="232">
        <v>46747</v>
      </c>
      <c r="H4" s="130"/>
      <c r="I4" s="101"/>
      <c r="J4" s="131"/>
      <c r="K4" s="131"/>
      <c r="L4" s="131"/>
      <c r="M4" s="131"/>
      <c r="N4" s="102" t="s">
        <v>47</v>
      </c>
      <c r="O4" s="114" t="s">
        <v>44</v>
      </c>
      <c r="P4" s="132">
        <v>4.1100000000000003</v>
      </c>
      <c r="Q4" s="128">
        <v>4.0999999999999996</v>
      </c>
      <c r="R4" s="133">
        <v>1.833</v>
      </c>
      <c r="S4" s="128">
        <v>1.845</v>
      </c>
      <c r="T4" s="114">
        <v>994</v>
      </c>
      <c r="U4" s="114">
        <v>980</v>
      </c>
      <c r="V4" s="114">
        <v>307</v>
      </c>
      <c r="W4" s="114">
        <v>305</v>
      </c>
      <c r="X4" s="114">
        <v>6.17</v>
      </c>
      <c r="Y4" s="114">
        <v>6.24</v>
      </c>
      <c r="Z4" s="129">
        <f t="shared" si="0"/>
        <v>0.98878205128205121</v>
      </c>
      <c r="AA4" s="114"/>
      <c r="AB4" s="103"/>
      <c r="AC4" s="111" t="s">
        <v>41</v>
      </c>
      <c r="AD4" s="100">
        <v>46512</v>
      </c>
      <c r="AE4" s="111" t="s">
        <v>44</v>
      </c>
      <c r="AF4" s="104"/>
      <c r="AG4" s="99" t="s">
        <v>42</v>
      </c>
      <c r="AH4" s="99" t="s">
        <v>44</v>
      </c>
      <c r="AI4" s="99" t="s">
        <v>48</v>
      </c>
      <c r="AJ4" s="107"/>
      <c r="AK4" s="114"/>
      <c r="AL4" s="114"/>
      <c r="AM4" s="114"/>
    </row>
    <row r="5" spans="1:43" ht="17.399999999999999" customHeight="1">
      <c r="A5" s="114" t="s">
        <v>35</v>
      </c>
      <c r="B5" s="98" t="s">
        <v>36</v>
      </c>
      <c r="C5" s="114" t="s">
        <v>49</v>
      </c>
      <c r="D5" s="114" t="s">
        <v>50</v>
      </c>
      <c r="E5" s="111"/>
      <c r="F5" s="233" t="s">
        <v>46</v>
      </c>
      <c r="G5" s="232">
        <v>46747</v>
      </c>
      <c r="H5" s="107"/>
      <c r="I5" s="111"/>
      <c r="J5" s="111"/>
      <c r="K5" s="111"/>
      <c r="L5" s="111"/>
      <c r="M5" s="111"/>
      <c r="N5" s="102" t="s">
        <v>47</v>
      </c>
      <c r="O5" s="111" t="s">
        <v>49</v>
      </c>
      <c r="P5" s="134">
        <v>4.88</v>
      </c>
      <c r="Q5" s="128">
        <v>5</v>
      </c>
      <c r="R5" s="114">
        <v>2.3319999999999999</v>
      </c>
      <c r="S5" s="128">
        <v>2.335</v>
      </c>
      <c r="T5" s="114">
        <v>1318</v>
      </c>
      <c r="U5" s="114">
        <v>1290</v>
      </c>
      <c r="V5" s="114">
        <v>401</v>
      </c>
      <c r="W5" s="114">
        <v>400</v>
      </c>
      <c r="X5" s="114">
        <v>5.88</v>
      </c>
      <c r="Y5" s="114">
        <v>5.96</v>
      </c>
      <c r="Z5" s="129">
        <f t="shared" si="0"/>
        <v>0.98657718120805371</v>
      </c>
      <c r="AA5" s="114"/>
      <c r="AB5" s="103"/>
      <c r="AC5" s="111">
        <v>11404278</v>
      </c>
      <c r="AD5" s="100">
        <v>46512</v>
      </c>
      <c r="AE5" s="111" t="s">
        <v>49</v>
      </c>
      <c r="AF5" s="104"/>
      <c r="AG5" s="99" t="s">
        <v>42</v>
      </c>
      <c r="AH5" s="99" t="s">
        <v>49</v>
      </c>
      <c r="AI5" s="99" t="s">
        <v>51</v>
      </c>
      <c r="AJ5" s="105"/>
      <c r="AK5" s="114"/>
      <c r="AL5" s="114"/>
      <c r="AM5" s="114"/>
    </row>
    <row r="6" spans="1:43" ht="16.95" customHeight="1">
      <c r="A6" s="114" t="s">
        <v>35</v>
      </c>
      <c r="B6" s="98" t="s">
        <v>36</v>
      </c>
      <c r="C6" s="114" t="s">
        <v>52</v>
      </c>
      <c r="D6" s="114" t="s">
        <v>53</v>
      </c>
      <c r="E6" s="114"/>
      <c r="F6" s="233" t="s">
        <v>46</v>
      </c>
      <c r="G6" s="232">
        <v>46747</v>
      </c>
      <c r="H6" s="126"/>
      <c r="I6" s="101"/>
      <c r="J6" s="127"/>
      <c r="K6" s="127"/>
      <c r="L6" s="127"/>
      <c r="M6" s="127"/>
      <c r="N6" s="102" t="s">
        <v>47</v>
      </c>
      <c r="O6" s="114" t="s">
        <v>52</v>
      </c>
      <c r="P6" s="114">
        <v>5.8810000000000002</v>
      </c>
      <c r="Q6" s="128">
        <v>6</v>
      </c>
      <c r="R6" s="114">
        <v>2.734</v>
      </c>
      <c r="S6" s="128">
        <v>2.7</v>
      </c>
      <c r="T6" s="114">
        <v>1720</v>
      </c>
      <c r="U6" s="114">
        <v>1720</v>
      </c>
      <c r="V6" s="114">
        <v>510</v>
      </c>
      <c r="W6" s="114">
        <v>483</v>
      </c>
      <c r="X6" s="114">
        <v>5.35</v>
      </c>
      <c r="Y6" s="108">
        <v>5.61</v>
      </c>
      <c r="Z6" s="129">
        <f t="shared" si="0"/>
        <v>0.95365418894830645</v>
      </c>
      <c r="AA6" s="114"/>
      <c r="AB6" s="103"/>
      <c r="AC6" s="102"/>
      <c r="AD6" s="116"/>
      <c r="AE6" s="127"/>
      <c r="AF6" s="135"/>
      <c r="AG6" s="99" t="s">
        <v>42</v>
      </c>
      <c r="AH6" s="99" t="s">
        <v>52</v>
      </c>
      <c r="AI6" s="99" t="s">
        <v>54</v>
      </c>
      <c r="AJ6" s="105"/>
      <c r="AK6" s="114"/>
      <c r="AL6" s="114"/>
      <c r="AM6" s="114"/>
    </row>
    <row r="7" spans="1:43" ht="16.95" customHeight="1">
      <c r="A7" s="114" t="s">
        <v>35</v>
      </c>
      <c r="B7" s="98" t="s">
        <v>36</v>
      </c>
      <c r="C7" s="114" t="s">
        <v>55</v>
      </c>
      <c r="D7" s="114" t="s">
        <v>56</v>
      </c>
      <c r="E7" s="114"/>
      <c r="F7" s="111" t="s">
        <v>57</v>
      </c>
      <c r="G7" s="100">
        <v>46751</v>
      </c>
      <c r="H7" s="126"/>
      <c r="I7" s="101"/>
      <c r="J7" s="127"/>
      <c r="K7" s="127"/>
      <c r="L7" s="127"/>
      <c r="M7" s="127"/>
      <c r="N7" s="102" t="s">
        <v>58</v>
      </c>
      <c r="O7" s="114" t="s">
        <v>55</v>
      </c>
      <c r="P7" s="114">
        <v>7.1459999999999999</v>
      </c>
      <c r="Q7" s="128">
        <v>7.2</v>
      </c>
      <c r="R7" s="114">
        <v>3.2570000000000001</v>
      </c>
      <c r="S7" s="128">
        <v>3.24</v>
      </c>
      <c r="T7" s="114">
        <v>2059</v>
      </c>
      <c r="U7" s="114">
        <v>2150</v>
      </c>
      <c r="V7" s="114">
        <v>595</v>
      </c>
      <c r="W7" s="114">
        <v>603</v>
      </c>
      <c r="X7" s="114">
        <v>5.52</v>
      </c>
      <c r="Y7" s="114">
        <v>5.39</v>
      </c>
      <c r="Z7" s="129">
        <f t="shared" si="0"/>
        <v>1.0241187384044528</v>
      </c>
      <c r="AA7" s="114"/>
      <c r="AB7" s="103"/>
      <c r="AC7" s="111" t="s">
        <v>41</v>
      </c>
      <c r="AD7" s="100">
        <v>46512</v>
      </c>
      <c r="AE7" s="111" t="s">
        <v>55</v>
      </c>
      <c r="AF7" s="104"/>
      <c r="AG7" s="114" t="s">
        <v>42</v>
      </c>
      <c r="AH7" s="114" t="s">
        <v>55</v>
      </c>
      <c r="AI7" s="114" t="s">
        <v>59</v>
      </c>
      <c r="AJ7" s="107"/>
      <c r="AK7" s="114"/>
      <c r="AL7" s="114"/>
      <c r="AM7" s="114"/>
    </row>
    <row r="8" spans="1:43" ht="17.399999999999999" customHeight="1">
      <c r="A8" s="114" t="s">
        <v>60</v>
      </c>
      <c r="B8" s="98" t="s">
        <v>36</v>
      </c>
      <c r="C8" s="114" t="s">
        <v>61</v>
      </c>
      <c r="D8" s="114" t="s">
        <v>62</v>
      </c>
      <c r="E8" s="114"/>
      <c r="F8" s="233" t="s">
        <v>63</v>
      </c>
      <c r="G8" s="232">
        <v>47159</v>
      </c>
      <c r="H8" s="130"/>
      <c r="I8" s="101"/>
      <c r="J8" s="131"/>
      <c r="K8" s="131"/>
      <c r="L8" s="131"/>
      <c r="M8" s="131"/>
      <c r="N8" s="118" t="s">
        <v>64</v>
      </c>
      <c r="O8" s="114" t="s">
        <v>61</v>
      </c>
      <c r="P8" s="114">
        <v>2.1800000000000002</v>
      </c>
      <c r="Q8" s="114">
        <v>2.2000000000000002</v>
      </c>
      <c r="R8" s="114">
        <v>1.1100000000000001</v>
      </c>
      <c r="S8" s="136">
        <v>1.1000000000000001</v>
      </c>
      <c r="T8" s="114">
        <v>457</v>
      </c>
      <c r="U8" s="114">
        <v>465</v>
      </c>
      <c r="V8" s="114">
        <v>178</v>
      </c>
      <c r="W8" s="114">
        <v>185</v>
      </c>
      <c r="X8" s="114">
        <v>6.63</v>
      </c>
      <c r="Y8" s="114">
        <v>6.38</v>
      </c>
      <c r="Z8" s="129">
        <f t="shared" si="0"/>
        <v>1.0391849529780564</v>
      </c>
      <c r="AA8" s="114"/>
      <c r="AB8" s="103"/>
      <c r="AC8" s="111" t="s">
        <v>65</v>
      </c>
      <c r="AD8" s="100">
        <v>46387</v>
      </c>
      <c r="AE8" s="111" t="s">
        <v>61</v>
      </c>
      <c r="AF8" s="104"/>
      <c r="AG8" s="114" t="s">
        <v>42</v>
      </c>
      <c r="AH8" s="114" t="s">
        <v>61</v>
      </c>
      <c r="AI8" s="114" t="s">
        <v>66</v>
      </c>
      <c r="AJ8" s="105"/>
      <c r="AK8" s="106"/>
      <c r="AL8" s="114"/>
      <c r="AM8" s="114"/>
    </row>
    <row r="9" spans="1:43" ht="17.399999999999999" customHeight="1">
      <c r="A9" s="114" t="s">
        <v>60</v>
      </c>
      <c r="B9" s="98" t="s">
        <v>36</v>
      </c>
      <c r="C9" s="114" t="s">
        <v>67</v>
      </c>
      <c r="D9" s="114" t="s">
        <v>68</v>
      </c>
      <c r="E9" s="111"/>
      <c r="F9" s="233" t="s">
        <v>63</v>
      </c>
      <c r="G9" s="232">
        <v>47159</v>
      </c>
      <c r="H9" s="107"/>
      <c r="I9" s="111"/>
      <c r="J9" s="111"/>
      <c r="K9" s="111"/>
      <c r="L9" s="111"/>
      <c r="M9" s="111"/>
      <c r="N9" s="118" t="s">
        <v>64</v>
      </c>
      <c r="O9" s="111" t="s">
        <v>67</v>
      </c>
      <c r="P9" s="114">
        <v>2.1800000000000002</v>
      </c>
      <c r="Q9" s="114">
        <v>2.2000000000000002</v>
      </c>
      <c r="R9" s="114">
        <v>1.1100000000000001</v>
      </c>
      <c r="S9" s="136">
        <v>1.1000000000000001</v>
      </c>
      <c r="T9" s="114">
        <v>457</v>
      </c>
      <c r="U9" s="114">
        <v>465</v>
      </c>
      <c r="V9" s="114">
        <v>178</v>
      </c>
      <c r="W9" s="114">
        <v>185</v>
      </c>
      <c r="X9" s="114">
        <v>6.63</v>
      </c>
      <c r="Y9" s="114">
        <v>6.38</v>
      </c>
      <c r="Z9" s="129">
        <f t="shared" si="0"/>
        <v>1.0391849529780564</v>
      </c>
      <c r="AA9" s="114"/>
      <c r="AB9" s="103"/>
      <c r="AC9" s="111" t="s">
        <v>69</v>
      </c>
      <c r="AD9" s="100">
        <v>46527</v>
      </c>
      <c r="AE9" s="111" t="s">
        <v>67</v>
      </c>
      <c r="AF9" s="104"/>
      <c r="AG9" s="114" t="s">
        <v>42</v>
      </c>
      <c r="AH9" s="114" t="s">
        <v>67</v>
      </c>
      <c r="AI9" s="114" t="s">
        <v>70</v>
      </c>
      <c r="AJ9" s="105"/>
      <c r="AK9" s="114"/>
      <c r="AL9" s="114"/>
      <c r="AM9" s="114"/>
      <c r="AO9" s="119" t="s">
        <v>36</v>
      </c>
      <c r="AP9" s="119">
        <f t="array" ref="AP9">SUM(--(FREQUENCY(IF((B3:B195="RA")*(AC3:AC195&lt;&gt;""),MATCH(AC3:AC195,AC3:AC195,0)),ROW(AC3:AC195)-ROW(AC3)+1)&gt;0))</f>
        <v>15</v>
      </c>
    </row>
    <row r="10" spans="1:43" ht="16.95" customHeight="1">
      <c r="A10" s="114" t="s">
        <v>60</v>
      </c>
      <c r="B10" s="98" t="s">
        <v>36</v>
      </c>
      <c r="C10" s="114" t="s">
        <v>71</v>
      </c>
      <c r="D10" s="114" t="s">
        <v>72</v>
      </c>
      <c r="E10" s="114"/>
      <c r="F10" s="233" t="s">
        <v>63</v>
      </c>
      <c r="G10" s="232">
        <v>47159</v>
      </c>
      <c r="H10" s="119"/>
      <c r="I10" s="119"/>
      <c r="J10" s="119"/>
      <c r="K10" s="119"/>
      <c r="L10" s="119"/>
      <c r="M10" s="119"/>
      <c r="N10" s="118" t="s">
        <v>64</v>
      </c>
      <c r="O10" s="114" t="s">
        <v>71</v>
      </c>
      <c r="P10" s="114">
        <v>2.4900000000000002</v>
      </c>
      <c r="Q10" s="114">
        <v>2.5</v>
      </c>
      <c r="R10" s="114">
        <v>1.25</v>
      </c>
      <c r="S10" s="114">
        <v>1.25</v>
      </c>
      <c r="T10" s="114">
        <v>544</v>
      </c>
      <c r="U10" s="114">
        <v>550</v>
      </c>
      <c r="V10" s="114">
        <v>207</v>
      </c>
      <c r="W10" s="114">
        <v>210</v>
      </c>
      <c r="X10" s="114">
        <v>6.4</v>
      </c>
      <c r="Y10" s="114">
        <v>6.32</v>
      </c>
      <c r="Z10" s="129">
        <f t="shared" si="0"/>
        <v>1.0126582278481013</v>
      </c>
      <c r="AA10" s="119"/>
      <c r="AB10" s="119"/>
      <c r="AC10" s="114" t="s">
        <v>65</v>
      </c>
      <c r="AD10" s="116">
        <v>46387</v>
      </c>
      <c r="AE10" s="114" t="s">
        <v>71</v>
      </c>
      <c r="AF10" s="119"/>
      <c r="AG10" s="114" t="s">
        <v>42</v>
      </c>
      <c r="AH10" s="114" t="s">
        <v>71</v>
      </c>
      <c r="AI10" s="114" t="s">
        <v>73</v>
      </c>
      <c r="AJ10" s="105"/>
      <c r="AK10" s="114"/>
      <c r="AL10" s="114"/>
      <c r="AM10" s="114"/>
      <c r="AO10" s="119" t="s">
        <v>74</v>
      </c>
      <c r="AP10" s="119">
        <f t="array" ref="AP10">SUM(--(FREQUENCY(IF((B3:B195="MA")*(AC3:AC195&lt;&gt;""),MATCH(AC3:AC195,AC3:AC195,0)),ROW(AC3:AC195)-ROW(AC3)+1)&gt;0))</f>
        <v>3</v>
      </c>
    </row>
    <row r="11" spans="1:43" ht="16.95" customHeight="1">
      <c r="A11" s="114" t="s">
        <v>60</v>
      </c>
      <c r="B11" s="98" t="s">
        <v>36</v>
      </c>
      <c r="C11" s="114" t="s">
        <v>75</v>
      </c>
      <c r="D11" s="114" t="s">
        <v>76</v>
      </c>
      <c r="E11" s="114"/>
      <c r="F11" s="233" t="s">
        <v>63</v>
      </c>
      <c r="G11" s="232">
        <v>47159</v>
      </c>
      <c r="H11" s="119"/>
      <c r="I11" s="119"/>
      <c r="J11" s="119"/>
      <c r="K11" s="119"/>
      <c r="L11" s="119"/>
      <c r="M11" s="119"/>
      <c r="N11" s="118" t="s">
        <v>64</v>
      </c>
      <c r="O11" s="114" t="s">
        <v>75</v>
      </c>
      <c r="P11" s="114">
        <v>2.4900000000000002</v>
      </c>
      <c r="Q11" s="114">
        <v>2.5</v>
      </c>
      <c r="R11" s="114">
        <v>1.25</v>
      </c>
      <c r="S11" s="114">
        <v>1.25</v>
      </c>
      <c r="T11" s="114">
        <v>544</v>
      </c>
      <c r="U11" s="114">
        <v>550</v>
      </c>
      <c r="V11" s="114">
        <v>207</v>
      </c>
      <c r="W11" s="114">
        <v>210</v>
      </c>
      <c r="X11" s="114">
        <v>6.4</v>
      </c>
      <c r="Y11" s="114">
        <v>6.32</v>
      </c>
      <c r="Z11" s="129">
        <f t="shared" si="0"/>
        <v>1.0126582278481013</v>
      </c>
      <c r="AA11" s="119"/>
      <c r="AB11" s="119"/>
      <c r="AC11" s="114" t="s">
        <v>69</v>
      </c>
      <c r="AD11" s="116">
        <v>46527</v>
      </c>
      <c r="AE11" s="114" t="s">
        <v>75</v>
      </c>
      <c r="AF11" s="119"/>
      <c r="AG11" s="114" t="s">
        <v>42</v>
      </c>
      <c r="AH11" s="114" t="s">
        <v>75</v>
      </c>
      <c r="AI11" s="114" t="s">
        <v>77</v>
      </c>
      <c r="AJ11" s="107"/>
      <c r="AK11" s="114"/>
      <c r="AL11" s="114"/>
      <c r="AM11" s="114"/>
      <c r="AO11" s="119" t="s">
        <v>78</v>
      </c>
      <c r="AP11" s="119">
        <f t="array" ref="AP11">SUM(--(FREQUENCY(IF((B3:B195="SA")*(AC3:AC195&lt;&gt;""),MATCH(AC3:AC195,AC3:AC195,0)),ROW(AC3:AC195)-ROW(AC3)+1)&gt;0))</f>
        <v>6</v>
      </c>
    </row>
    <row r="12" spans="1:43" ht="15.75" customHeight="1">
      <c r="A12" s="114" t="s">
        <v>60</v>
      </c>
      <c r="B12" s="98" t="s">
        <v>36</v>
      </c>
      <c r="C12" s="114" t="s">
        <v>79</v>
      </c>
      <c r="D12" s="114" t="s">
        <v>80</v>
      </c>
      <c r="E12" s="114"/>
      <c r="F12" s="233" t="s">
        <v>63</v>
      </c>
      <c r="G12" s="232">
        <v>47159</v>
      </c>
      <c r="H12" s="119"/>
      <c r="I12" s="119"/>
      <c r="J12" s="119"/>
      <c r="K12" s="119"/>
      <c r="L12" s="119"/>
      <c r="M12" s="119"/>
      <c r="N12" s="118" t="s">
        <v>64</v>
      </c>
      <c r="O12" s="114" t="s">
        <v>79</v>
      </c>
      <c r="P12" s="114">
        <v>2.97</v>
      </c>
      <c r="Q12" s="137">
        <v>3</v>
      </c>
      <c r="R12" s="114">
        <v>1.49</v>
      </c>
      <c r="S12" s="136">
        <v>1.5</v>
      </c>
      <c r="T12" s="114">
        <v>700</v>
      </c>
      <c r="U12" s="114">
        <v>684</v>
      </c>
      <c r="V12" s="114">
        <v>263</v>
      </c>
      <c r="W12" s="114">
        <v>253</v>
      </c>
      <c r="X12" s="114">
        <v>5.99</v>
      </c>
      <c r="Y12" s="114">
        <v>6.24</v>
      </c>
      <c r="Z12" s="129">
        <f t="shared" si="0"/>
        <v>0.95993589743589747</v>
      </c>
      <c r="AA12" s="119"/>
      <c r="AB12" s="119"/>
      <c r="AC12" s="114"/>
      <c r="AD12" s="114"/>
      <c r="AE12" s="114"/>
      <c r="AF12" s="119"/>
      <c r="AG12" s="114" t="s">
        <v>42</v>
      </c>
      <c r="AH12" s="114" t="s">
        <v>79</v>
      </c>
      <c r="AI12" s="114" t="s">
        <v>81</v>
      </c>
      <c r="AO12" s="119" t="s">
        <v>82</v>
      </c>
      <c r="AP12" s="119">
        <f t="array" ref="AP12">SUM(--(FREQUENCY(IF((B6:B198="VRV")*(AC6:AC198&lt;&gt;""),MATCH(AC6:AC198,AC6:AC198,0)),ROW(AC6:AC198)-ROW(AC6)+1)&gt;0))</f>
        <v>13</v>
      </c>
    </row>
    <row r="13" spans="1:43" ht="15.75" customHeight="1">
      <c r="A13" s="114" t="s">
        <v>60</v>
      </c>
      <c r="B13" s="98" t="s">
        <v>36</v>
      </c>
      <c r="C13" s="114" t="s">
        <v>83</v>
      </c>
      <c r="D13" s="114" t="s">
        <v>84</v>
      </c>
      <c r="E13" s="114"/>
      <c r="F13" s="233" t="s">
        <v>63</v>
      </c>
      <c r="G13" s="232">
        <v>47159</v>
      </c>
      <c r="H13" s="119"/>
      <c r="I13" s="119"/>
      <c r="J13" s="119"/>
      <c r="K13" s="119"/>
      <c r="L13" s="119"/>
      <c r="M13" s="119"/>
      <c r="N13" s="118" t="s">
        <v>64</v>
      </c>
      <c r="O13" s="114" t="s">
        <v>83</v>
      </c>
      <c r="P13" s="114">
        <v>2.97</v>
      </c>
      <c r="Q13" s="137">
        <v>3</v>
      </c>
      <c r="R13" s="114">
        <v>1.49</v>
      </c>
      <c r="S13" s="136">
        <v>1.5</v>
      </c>
      <c r="T13" s="114">
        <v>700</v>
      </c>
      <c r="U13" s="114">
        <v>684</v>
      </c>
      <c r="V13" s="114">
        <v>263</v>
      </c>
      <c r="W13" s="114">
        <v>253</v>
      </c>
      <c r="X13" s="114">
        <v>5.99</v>
      </c>
      <c r="Y13" s="114">
        <v>6.24</v>
      </c>
      <c r="Z13" s="129">
        <f t="shared" si="0"/>
        <v>0.95993589743589747</v>
      </c>
      <c r="AA13" s="119"/>
      <c r="AB13" s="119"/>
      <c r="AC13" s="114"/>
      <c r="AD13" s="114"/>
      <c r="AE13" s="114"/>
      <c r="AF13" s="119"/>
      <c r="AG13" s="114" t="s">
        <v>42</v>
      </c>
      <c r="AH13" s="114" t="s">
        <v>83</v>
      </c>
      <c r="AI13" s="114" t="s">
        <v>85</v>
      </c>
    </row>
    <row r="14" spans="1:43" ht="15.75" customHeight="1">
      <c r="A14" s="114" t="s">
        <v>60</v>
      </c>
      <c r="B14" s="98" t="s">
        <v>36</v>
      </c>
      <c r="C14" s="114" t="s">
        <v>86</v>
      </c>
      <c r="D14" s="114" t="s">
        <v>87</v>
      </c>
      <c r="E14" s="114"/>
      <c r="F14" s="233" t="s">
        <v>88</v>
      </c>
      <c r="G14" s="234">
        <v>47159</v>
      </c>
      <c r="H14" s="119"/>
      <c r="I14" s="119"/>
      <c r="J14" s="119"/>
      <c r="K14" s="119"/>
      <c r="L14" s="119"/>
      <c r="M14" s="119"/>
      <c r="N14" s="118" t="s">
        <v>64</v>
      </c>
      <c r="O14" s="114" t="s">
        <v>86</v>
      </c>
      <c r="P14" s="114">
        <v>4.04</v>
      </c>
      <c r="Q14" s="137">
        <v>4.0999999999999996</v>
      </c>
      <c r="R14" s="114">
        <v>2.17</v>
      </c>
      <c r="S14" s="114">
        <v>2.08</v>
      </c>
      <c r="T14" s="114">
        <v>966</v>
      </c>
      <c r="U14" s="114">
        <v>1000</v>
      </c>
      <c r="V14" s="114">
        <v>369</v>
      </c>
      <c r="W14" s="114">
        <v>365</v>
      </c>
      <c r="X14" s="114">
        <v>6.15</v>
      </c>
      <c r="Y14" s="114">
        <v>5.96</v>
      </c>
      <c r="Z14" s="129">
        <f t="shared" si="0"/>
        <v>1.0318791946308725</v>
      </c>
      <c r="AA14" s="119"/>
      <c r="AB14" s="119"/>
      <c r="AC14" s="114" t="s">
        <v>89</v>
      </c>
      <c r="AD14" s="116">
        <v>45657</v>
      </c>
      <c r="AE14" s="114" t="s">
        <v>86</v>
      </c>
      <c r="AF14" s="119"/>
      <c r="AG14" s="114" t="s">
        <v>42</v>
      </c>
      <c r="AH14" s="114" t="s">
        <v>86</v>
      </c>
      <c r="AI14" s="114" t="s">
        <v>90</v>
      </c>
    </row>
    <row r="15" spans="1:43" ht="15.75" customHeight="1">
      <c r="A15" s="114" t="s">
        <v>60</v>
      </c>
      <c r="B15" s="98" t="s">
        <v>36</v>
      </c>
      <c r="C15" s="114" t="s">
        <v>91</v>
      </c>
      <c r="D15" s="114" t="s">
        <v>92</v>
      </c>
      <c r="E15" s="114"/>
      <c r="F15" s="233" t="s">
        <v>88</v>
      </c>
      <c r="G15" s="234">
        <v>47159</v>
      </c>
      <c r="H15" s="119"/>
      <c r="I15" s="119"/>
      <c r="J15" s="119"/>
      <c r="K15" s="119"/>
      <c r="L15" s="119"/>
      <c r="M15" s="119"/>
      <c r="N15" s="118" t="s">
        <v>93</v>
      </c>
      <c r="O15" s="114" t="s">
        <v>91</v>
      </c>
      <c r="P15" s="114">
        <v>4.04</v>
      </c>
      <c r="Q15" s="137">
        <v>4.0999999999999996</v>
      </c>
      <c r="R15" s="114">
        <v>2.17</v>
      </c>
      <c r="S15" s="114">
        <v>2.08</v>
      </c>
      <c r="T15" s="114">
        <v>966</v>
      </c>
      <c r="U15" s="114">
        <v>1000</v>
      </c>
      <c r="V15" s="114">
        <v>369</v>
      </c>
      <c r="W15" s="114">
        <v>365</v>
      </c>
      <c r="X15" s="114">
        <v>6.15</v>
      </c>
      <c r="Y15" s="114">
        <v>5.96</v>
      </c>
      <c r="Z15" s="129">
        <f t="shared" si="0"/>
        <v>1.0318791946308725</v>
      </c>
      <c r="AA15" s="119"/>
      <c r="AB15" s="119"/>
      <c r="AC15" s="114"/>
      <c r="AD15" s="114"/>
      <c r="AE15" s="114"/>
      <c r="AF15" s="119"/>
      <c r="AG15" s="114" t="s">
        <v>42</v>
      </c>
      <c r="AH15" s="114" t="s">
        <v>91</v>
      </c>
      <c r="AI15" s="114" t="s">
        <v>94</v>
      </c>
    </row>
    <row r="16" spans="1:43" ht="15.6" customHeight="1">
      <c r="A16" s="114" t="s">
        <v>60</v>
      </c>
      <c r="B16" s="98" t="s">
        <v>36</v>
      </c>
      <c r="C16" s="114" t="s">
        <v>95</v>
      </c>
      <c r="D16" s="114" t="s">
        <v>96</v>
      </c>
      <c r="E16" s="114"/>
      <c r="F16" s="233" t="s">
        <v>88</v>
      </c>
      <c r="G16" s="234">
        <v>47159</v>
      </c>
      <c r="H16" s="119"/>
      <c r="I16" s="119"/>
      <c r="J16" s="119"/>
      <c r="K16" s="119"/>
      <c r="L16" s="119"/>
      <c r="M16" s="119"/>
      <c r="N16" s="118" t="s">
        <v>93</v>
      </c>
      <c r="O16" s="114" t="s">
        <v>95</v>
      </c>
      <c r="P16" s="114">
        <v>4.04</v>
      </c>
      <c r="Q16" s="137">
        <v>4.0999999999999996</v>
      </c>
      <c r="R16" s="114">
        <v>2.17</v>
      </c>
      <c r="S16" s="114">
        <v>2.08</v>
      </c>
      <c r="T16" s="114">
        <v>966</v>
      </c>
      <c r="U16" s="114">
        <v>1000</v>
      </c>
      <c r="V16" s="114">
        <v>369</v>
      </c>
      <c r="W16" s="114">
        <v>365</v>
      </c>
      <c r="X16" s="114">
        <v>6.15</v>
      </c>
      <c r="Y16" s="114">
        <v>5.96</v>
      </c>
      <c r="Z16" s="129">
        <f t="shared" si="0"/>
        <v>1.0318791946308725</v>
      </c>
      <c r="AA16" s="119"/>
      <c r="AB16" s="119"/>
      <c r="AC16" s="114"/>
      <c r="AD16" s="114"/>
      <c r="AE16" s="114"/>
      <c r="AF16" s="119"/>
      <c r="AG16" s="114" t="s">
        <v>42</v>
      </c>
      <c r="AH16" s="114" t="s">
        <v>95</v>
      </c>
      <c r="AI16" s="114" t="s">
        <v>97</v>
      </c>
    </row>
    <row r="17" spans="1:35" ht="15.75" customHeight="1">
      <c r="A17" s="114" t="s">
        <v>60</v>
      </c>
      <c r="B17" s="98" t="s">
        <v>36</v>
      </c>
      <c r="C17" s="114" t="s">
        <v>98</v>
      </c>
      <c r="D17" s="114" t="s">
        <v>99</v>
      </c>
      <c r="E17" s="114"/>
      <c r="F17" s="233" t="s">
        <v>88</v>
      </c>
      <c r="G17" s="234">
        <v>47159</v>
      </c>
      <c r="H17" s="119"/>
      <c r="I17" s="119"/>
      <c r="J17" s="119"/>
      <c r="K17" s="119"/>
      <c r="L17" s="119"/>
      <c r="M17" s="119"/>
      <c r="N17" s="118" t="s">
        <v>64</v>
      </c>
      <c r="O17" s="114" t="s">
        <v>98</v>
      </c>
      <c r="P17" s="114">
        <v>5.25</v>
      </c>
      <c r="Q17" s="137">
        <v>5</v>
      </c>
      <c r="R17" s="114">
        <v>2.42</v>
      </c>
      <c r="S17" s="114">
        <v>2.335</v>
      </c>
      <c r="T17" s="114">
        <v>1305</v>
      </c>
      <c r="U17" s="114">
        <v>1315</v>
      </c>
      <c r="V17" s="114">
        <v>407</v>
      </c>
      <c r="W17" s="114">
        <v>410</v>
      </c>
      <c r="X17" s="136">
        <v>6.1</v>
      </c>
      <c r="Y17" s="114">
        <v>5.83</v>
      </c>
      <c r="Z17" s="129">
        <f t="shared" si="0"/>
        <v>1.0463121783876501</v>
      </c>
      <c r="AA17" s="119"/>
      <c r="AB17" s="119"/>
      <c r="AC17" s="114" t="s">
        <v>100</v>
      </c>
      <c r="AD17" s="116">
        <v>46557</v>
      </c>
      <c r="AE17" s="114" t="s">
        <v>98</v>
      </c>
      <c r="AF17" s="119"/>
      <c r="AG17" s="114" t="s">
        <v>42</v>
      </c>
      <c r="AH17" s="114" t="s">
        <v>98</v>
      </c>
      <c r="AI17" s="114" t="s">
        <v>101</v>
      </c>
    </row>
    <row r="18" spans="1:35" ht="15.75" customHeight="1">
      <c r="A18" s="114" t="s">
        <v>60</v>
      </c>
      <c r="B18" s="98" t="s">
        <v>36</v>
      </c>
      <c r="C18" s="114" t="s">
        <v>102</v>
      </c>
      <c r="D18" s="114" t="s">
        <v>103</v>
      </c>
      <c r="E18" s="114"/>
      <c r="F18" s="233" t="s">
        <v>88</v>
      </c>
      <c r="G18" s="234">
        <v>47159</v>
      </c>
      <c r="H18" s="119"/>
      <c r="I18" s="119"/>
      <c r="J18" s="119"/>
      <c r="K18" s="119"/>
      <c r="L18" s="119"/>
      <c r="M18" s="119"/>
      <c r="N18" s="118" t="s">
        <v>93</v>
      </c>
      <c r="O18" s="114" t="s">
        <v>102</v>
      </c>
      <c r="P18" s="114">
        <v>5.25</v>
      </c>
      <c r="Q18" s="137">
        <v>5</v>
      </c>
      <c r="R18" s="114">
        <v>2.42</v>
      </c>
      <c r="S18" s="114">
        <v>2.335</v>
      </c>
      <c r="T18" s="114">
        <v>1305</v>
      </c>
      <c r="U18" s="114">
        <v>1315</v>
      </c>
      <c r="V18" s="114">
        <v>407</v>
      </c>
      <c r="W18" s="114">
        <v>410</v>
      </c>
      <c r="X18" s="136">
        <v>6.1</v>
      </c>
      <c r="Y18" s="114">
        <v>5.83</v>
      </c>
      <c r="Z18" s="129">
        <f t="shared" si="0"/>
        <v>1.0463121783876501</v>
      </c>
      <c r="AA18" s="119"/>
      <c r="AB18" s="119"/>
      <c r="AC18" s="114" t="s">
        <v>104</v>
      </c>
      <c r="AD18" s="116">
        <v>46387</v>
      </c>
      <c r="AE18" s="114" t="s">
        <v>102</v>
      </c>
      <c r="AF18" s="119"/>
      <c r="AG18" s="114" t="s">
        <v>42</v>
      </c>
      <c r="AH18" s="114" t="s">
        <v>102</v>
      </c>
      <c r="AI18" s="114" t="s">
        <v>105</v>
      </c>
    </row>
    <row r="19" spans="1:35" ht="15.75" customHeight="1">
      <c r="A19" s="114" t="s">
        <v>60</v>
      </c>
      <c r="B19" s="98" t="s">
        <v>36</v>
      </c>
      <c r="C19" s="114" t="s">
        <v>106</v>
      </c>
      <c r="D19" s="114" t="s">
        <v>107</v>
      </c>
      <c r="E19" s="114"/>
      <c r="F19" s="233" t="s">
        <v>88</v>
      </c>
      <c r="G19" s="234">
        <v>47159</v>
      </c>
      <c r="H19" s="119"/>
      <c r="I19" s="119"/>
      <c r="J19" s="119"/>
      <c r="K19" s="119"/>
      <c r="L19" s="119"/>
      <c r="M19" s="119"/>
      <c r="N19" s="118" t="s">
        <v>93</v>
      </c>
      <c r="O19" s="114" t="s">
        <v>106</v>
      </c>
      <c r="P19" s="114">
        <v>5.25</v>
      </c>
      <c r="Q19" s="137">
        <v>5</v>
      </c>
      <c r="R19" s="114">
        <v>2.42</v>
      </c>
      <c r="S19" s="114">
        <v>2.335</v>
      </c>
      <c r="T19" s="114">
        <v>1305</v>
      </c>
      <c r="U19" s="114">
        <v>1315</v>
      </c>
      <c r="V19" s="114">
        <v>407</v>
      </c>
      <c r="W19" s="114">
        <v>410</v>
      </c>
      <c r="X19" s="136">
        <v>6.1</v>
      </c>
      <c r="Y19" s="114">
        <v>5.83</v>
      </c>
      <c r="Z19" s="129">
        <f t="shared" si="0"/>
        <v>1.0463121783876501</v>
      </c>
      <c r="AA19" s="119"/>
      <c r="AB19" s="119"/>
      <c r="AC19" s="114" t="s">
        <v>69</v>
      </c>
      <c r="AD19" s="116">
        <v>46527</v>
      </c>
      <c r="AE19" s="114" t="s">
        <v>106</v>
      </c>
      <c r="AF19" s="119"/>
      <c r="AG19" s="114" t="s">
        <v>42</v>
      </c>
      <c r="AH19" s="114" t="s">
        <v>106</v>
      </c>
      <c r="AI19" s="114" t="s">
        <v>108</v>
      </c>
    </row>
    <row r="20" spans="1:35" ht="15.75" customHeight="1">
      <c r="A20" s="114" t="s">
        <v>60</v>
      </c>
      <c r="B20" s="98" t="s">
        <v>36</v>
      </c>
      <c r="C20" s="114" t="s">
        <v>109</v>
      </c>
      <c r="D20" s="114" t="s">
        <v>110</v>
      </c>
      <c r="E20" s="114"/>
      <c r="F20" s="233" t="s">
        <v>88</v>
      </c>
      <c r="G20" s="234">
        <v>47159</v>
      </c>
      <c r="H20" s="119"/>
      <c r="I20" s="119"/>
      <c r="J20" s="119"/>
      <c r="K20" s="119"/>
      <c r="L20" s="119"/>
      <c r="M20" s="119"/>
      <c r="N20" s="118" t="s">
        <v>93</v>
      </c>
      <c r="O20" s="114" t="s">
        <v>109</v>
      </c>
      <c r="P20" s="114">
        <v>6.17</v>
      </c>
      <c r="Q20" s="137">
        <v>6</v>
      </c>
      <c r="R20" s="114">
        <v>2.99</v>
      </c>
      <c r="S20" s="136">
        <v>2.9</v>
      </c>
      <c r="T20" s="114">
        <v>1748</v>
      </c>
      <c r="U20" s="114">
        <v>1720</v>
      </c>
      <c r="V20" s="114">
        <v>555</v>
      </c>
      <c r="W20" s="114">
        <v>520</v>
      </c>
      <c r="X20" s="114">
        <v>5.49</v>
      </c>
      <c r="Y20" s="114">
        <v>5.61</v>
      </c>
      <c r="Z20" s="129">
        <f t="shared" si="0"/>
        <v>0.97860962566844922</v>
      </c>
      <c r="AA20" s="119"/>
      <c r="AB20" s="119"/>
      <c r="AC20" s="114"/>
      <c r="AD20" s="114"/>
      <c r="AE20" s="114"/>
      <c r="AF20" s="119"/>
      <c r="AG20" s="114" t="s">
        <v>42</v>
      </c>
      <c r="AH20" s="114" t="s">
        <v>109</v>
      </c>
      <c r="AI20" s="114" t="s">
        <v>111</v>
      </c>
    </row>
    <row r="21" spans="1:35" ht="15.75" customHeight="1">
      <c r="A21" s="114" t="s">
        <v>60</v>
      </c>
      <c r="B21" s="98" t="s">
        <v>36</v>
      </c>
      <c r="C21" s="114" t="s">
        <v>112</v>
      </c>
      <c r="D21" s="114" t="s">
        <v>113</v>
      </c>
      <c r="E21" s="114"/>
      <c r="F21" s="233" t="s">
        <v>88</v>
      </c>
      <c r="G21" s="234">
        <v>47159</v>
      </c>
      <c r="H21" s="119"/>
      <c r="I21" s="119"/>
      <c r="J21" s="119"/>
      <c r="K21" s="119"/>
      <c r="L21" s="119"/>
      <c r="M21" s="119"/>
      <c r="N21" s="118" t="s">
        <v>64</v>
      </c>
      <c r="O21" s="114" t="s">
        <v>112</v>
      </c>
      <c r="P21" s="114">
        <v>6.17</v>
      </c>
      <c r="Q21" s="137">
        <v>6</v>
      </c>
      <c r="R21" s="114">
        <v>2.99</v>
      </c>
      <c r="S21" s="136">
        <v>2.9</v>
      </c>
      <c r="T21" s="114">
        <v>1748</v>
      </c>
      <c r="U21" s="114">
        <v>1720</v>
      </c>
      <c r="V21" s="114">
        <v>555</v>
      </c>
      <c r="W21" s="114">
        <v>520</v>
      </c>
      <c r="X21" s="114">
        <v>5.49</v>
      </c>
      <c r="Y21" s="114">
        <v>5.61</v>
      </c>
      <c r="Z21" s="129">
        <f t="shared" si="0"/>
        <v>0.97860962566844922</v>
      </c>
      <c r="AA21" s="119"/>
      <c r="AB21" s="119"/>
      <c r="AC21" s="114" t="s">
        <v>89</v>
      </c>
      <c r="AD21" s="116">
        <v>45657</v>
      </c>
      <c r="AE21" s="114" t="s">
        <v>112</v>
      </c>
      <c r="AF21" s="119"/>
      <c r="AG21" s="114" t="s">
        <v>42</v>
      </c>
      <c r="AH21" s="114" t="s">
        <v>112</v>
      </c>
      <c r="AI21" s="114" t="s">
        <v>114</v>
      </c>
    </row>
    <row r="22" spans="1:35" ht="15.75" customHeight="1">
      <c r="A22" s="114" t="s">
        <v>60</v>
      </c>
      <c r="B22" s="98" t="s">
        <v>36</v>
      </c>
      <c r="C22" s="114" t="s">
        <v>115</v>
      </c>
      <c r="D22" s="114" t="s">
        <v>116</v>
      </c>
      <c r="E22" s="114"/>
      <c r="F22" s="233" t="s">
        <v>88</v>
      </c>
      <c r="G22" s="234">
        <v>47159</v>
      </c>
      <c r="H22" s="119"/>
      <c r="I22" s="119"/>
      <c r="J22" s="119"/>
      <c r="K22" s="119"/>
      <c r="L22" s="119"/>
      <c r="M22" s="119"/>
      <c r="N22" s="118" t="s">
        <v>93</v>
      </c>
      <c r="O22" s="114" t="s">
        <v>115</v>
      </c>
      <c r="P22" s="114">
        <v>6.17</v>
      </c>
      <c r="Q22" s="137">
        <v>6</v>
      </c>
      <c r="R22" s="114">
        <v>2.99</v>
      </c>
      <c r="S22" s="136">
        <v>2.9</v>
      </c>
      <c r="T22" s="114">
        <v>1748</v>
      </c>
      <c r="U22" s="114">
        <v>1720</v>
      </c>
      <c r="V22" s="114">
        <v>555</v>
      </c>
      <c r="W22" s="114">
        <v>520</v>
      </c>
      <c r="X22" s="114">
        <v>5.49</v>
      </c>
      <c r="Y22" s="114">
        <v>5.61</v>
      </c>
      <c r="Z22" s="129">
        <f t="shared" si="0"/>
        <v>0.97860962566844922</v>
      </c>
      <c r="AA22" s="119"/>
      <c r="AB22" s="119"/>
      <c r="AC22" s="114"/>
      <c r="AD22" s="114"/>
      <c r="AE22" s="114"/>
      <c r="AF22" s="119"/>
      <c r="AG22" s="114" t="s">
        <v>42</v>
      </c>
      <c r="AH22" s="114" t="s">
        <v>115</v>
      </c>
      <c r="AI22" s="114" t="s">
        <v>117</v>
      </c>
    </row>
    <row r="23" spans="1:35" ht="15.75" customHeight="1">
      <c r="A23" s="114" t="s">
        <v>60</v>
      </c>
      <c r="B23" s="98" t="s">
        <v>36</v>
      </c>
      <c r="C23" s="114" t="s">
        <v>118</v>
      </c>
      <c r="D23" s="114" t="s">
        <v>119</v>
      </c>
      <c r="E23" s="114"/>
      <c r="F23" s="233" t="s">
        <v>120</v>
      </c>
      <c r="G23" s="234">
        <v>47159</v>
      </c>
      <c r="H23" s="119"/>
      <c r="I23" s="119"/>
      <c r="J23" s="119"/>
      <c r="K23" s="119"/>
      <c r="L23" s="119"/>
      <c r="M23" s="119"/>
      <c r="N23" s="118" t="s">
        <v>121</v>
      </c>
      <c r="O23" s="114" t="s">
        <v>118</v>
      </c>
      <c r="P23" s="114">
        <v>7.41</v>
      </c>
      <c r="Q23" s="114">
        <v>7.2</v>
      </c>
      <c r="R23" s="114">
        <v>3.76</v>
      </c>
      <c r="S23" s="114">
        <v>3.6</v>
      </c>
      <c r="T23" s="114">
        <v>2177</v>
      </c>
      <c r="U23" s="114">
        <v>2150</v>
      </c>
      <c r="V23" s="114">
        <v>710</v>
      </c>
      <c r="W23" s="114">
        <v>675</v>
      </c>
      <c r="X23" s="114">
        <v>5.38</v>
      </c>
      <c r="Y23" s="114">
        <v>5.38</v>
      </c>
      <c r="Z23" s="129">
        <f t="shared" si="0"/>
        <v>1</v>
      </c>
      <c r="AA23" s="119"/>
      <c r="AB23" s="119"/>
      <c r="AC23" s="114"/>
      <c r="AD23" s="114"/>
      <c r="AE23" s="114"/>
      <c r="AF23" s="119"/>
      <c r="AG23" s="114" t="s">
        <v>42</v>
      </c>
      <c r="AH23" s="114" t="s">
        <v>118</v>
      </c>
      <c r="AI23" s="114" t="s">
        <v>122</v>
      </c>
    </row>
    <row r="24" spans="1:35" ht="15.75" customHeight="1">
      <c r="A24" s="114" t="s">
        <v>60</v>
      </c>
      <c r="B24" s="98" t="s">
        <v>36</v>
      </c>
      <c r="C24" s="114" t="s">
        <v>123</v>
      </c>
      <c r="D24" s="114" t="s">
        <v>124</v>
      </c>
      <c r="E24" s="114"/>
      <c r="F24" s="233" t="s">
        <v>120</v>
      </c>
      <c r="G24" s="234">
        <v>47159</v>
      </c>
      <c r="H24" s="119"/>
      <c r="I24" s="119"/>
      <c r="J24" s="119"/>
      <c r="K24" s="119"/>
      <c r="L24" s="119"/>
      <c r="M24" s="119"/>
      <c r="N24" s="118" t="s">
        <v>121</v>
      </c>
      <c r="O24" s="114" t="s">
        <v>123</v>
      </c>
      <c r="P24" s="114">
        <v>7.41</v>
      </c>
      <c r="Q24" s="114">
        <v>7.2</v>
      </c>
      <c r="R24" s="114">
        <v>3.76</v>
      </c>
      <c r="S24" s="114">
        <v>3.6</v>
      </c>
      <c r="T24" s="114">
        <v>2177</v>
      </c>
      <c r="U24" s="114">
        <v>2150</v>
      </c>
      <c r="V24" s="114">
        <v>710</v>
      </c>
      <c r="W24" s="114">
        <v>675</v>
      </c>
      <c r="X24" s="114">
        <v>5.38</v>
      </c>
      <c r="Y24" s="114">
        <v>5.38</v>
      </c>
      <c r="Z24" s="129">
        <f t="shared" si="0"/>
        <v>1</v>
      </c>
      <c r="AA24" s="119"/>
      <c r="AB24" s="119"/>
      <c r="AC24" s="114" t="s">
        <v>89</v>
      </c>
      <c r="AD24" s="116">
        <v>45657</v>
      </c>
      <c r="AE24" s="114" t="s">
        <v>123</v>
      </c>
      <c r="AF24" s="119"/>
      <c r="AG24" s="114" t="s">
        <v>42</v>
      </c>
      <c r="AH24" s="114" t="s">
        <v>123</v>
      </c>
      <c r="AI24" s="114" t="s">
        <v>125</v>
      </c>
    </row>
    <row r="25" spans="1:35" ht="15.6" customHeight="1">
      <c r="A25" s="114" t="s">
        <v>60</v>
      </c>
      <c r="B25" s="98" t="s">
        <v>36</v>
      </c>
      <c r="C25" s="114" t="s">
        <v>126</v>
      </c>
      <c r="D25" s="114" t="s">
        <v>127</v>
      </c>
      <c r="E25" s="114"/>
      <c r="F25" s="233" t="s">
        <v>120</v>
      </c>
      <c r="G25" s="234">
        <v>47159</v>
      </c>
      <c r="H25" s="119"/>
      <c r="I25" s="119"/>
      <c r="J25" s="119"/>
      <c r="K25" s="119"/>
      <c r="L25" s="119"/>
      <c r="M25" s="119"/>
      <c r="N25" s="118" t="s">
        <v>121</v>
      </c>
      <c r="O25" s="114" t="s">
        <v>126</v>
      </c>
      <c r="P25" s="114">
        <v>7.41</v>
      </c>
      <c r="Q25" s="114">
        <v>7.2</v>
      </c>
      <c r="R25" s="114">
        <v>3.76</v>
      </c>
      <c r="S25" s="114">
        <v>3.6</v>
      </c>
      <c r="T25" s="114">
        <v>2177</v>
      </c>
      <c r="U25" s="114">
        <v>2150</v>
      </c>
      <c r="V25" s="114">
        <v>710</v>
      </c>
      <c r="W25" s="114">
        <v>675</v>
      </c>
      <c r="X25" s="114">
        <v>5.38</v>
      </c>
      <c r="Y25" s="114">
        <v>5.38</v>
      </c>
      <c r="Z25" s="129">
        <f t="shared" si="0"/>
        <v>1</v>
      </c>
      <c r="AA25" s="119"/>
      <c r="AB25" s="119"/>
      <c r="AC25" s="114"/>
      <c r="AD25" s="114"/>
      <c r="AE25" s="114"/>
      <c r="AF25" s="119"/>
      <c r="AG25" s="114" t="s">
        <v>42</v>
      </c>
      <c r="AH25" s="114" t="s">
        <v>126</v>
      </c>
      <c r="AI25" s="114" t="s">
        <v>128</v>
      </c>
    </row>
    <row r="26" spans="1:35" ht="15.75" customHeight="1">
      <c r="A26" s="114" t="s">
        <v>60</v>
      </c>
      <c r="B26" s="98" t="s">
        <v>36</v>
      </c>
      <c r="C26" s="114" t="s">
        <v>129</v>
      </c>
      <c r="D26" s="114" t="s">
        <v>130</v>
      </c>
      <c r="E26" s="114"/>
      <c r="F26" s="233" t="s">
        <v>120</v>
      </c>
      <c r="G26" s="234">
        <v>47159</v>
      </c>
      <c r="H26" s="119"/>
      <c r="I26" s="119"/>
      <c r="J26" s="119"/>
      <c r="K26" s="119"/>
      <c r="L26" s="119"/>
      <c r="M26" s="119"/>
      <c r="N26" s="118" t="s">
        <v>121</v>
      </c>
      <c r="O26" s="114" t="s">
        <v>129</v>
      </c>
      <c r="P26" s="114">
        <v>7.41</v>
      </c>
      <c r="Q26" s="114">
        <v>7.2</v>
      </c>
      <c r="R26" s="114">
        <v>3.76</v>
      </c>
      <c r="S26" s="114">
        <v>3.6</v>
      </c>
      <c r="T26" s="114">
        <v>2177</v>
      </c>
      <c r="U26" s="114">
        <v>2150</v>
      </c>
      <c r="V26" s="114">
        <v>710</v>
      </c>
      <c r="W26" s="114">
        <v>675</v>
      </c>
      <c r="X26" s="114">
        <v>5.38</v>
      </c>
      <c r="Y26" s="114">
        <v>5.38</v>
      </c>
      <c r="Z26" s="129">
        <f t="shared" si="0"/>
        <v>1</v>
      </c>
      <c r="AA26" s="119"/>
      <c r="AB26" s="119"/>
      <c r="AC26" s="114" t="s">
        <v>89</v>
      </c>
      <c r="AD26" s="116">
        <v>45657</v>
      </c>
      <c r="AE26" s="114" t="s">
        <v>129</v>
      </c>
      <c r="AF26" s="119"/>
      <c r="AG26" s="114">
        <v>2</v>
      </c>
      <c r="AH26" s="114" t="s">
        <v>129</v>
      </c>
      <c r="AI26" s="114" t="s">
        <v>131</v>
      </c>
    </row>
    <row r="27" spans="1:35" ht="15.75" customHeight="1">
      <c r="A27" s="114" t="s">
        <v>35</v>
      </c>
      <c r="B27" s="98" t="s">
        <v>36</v>
      </c>
      <c r="C27" s="114" t="s">
        <v>132</v>
      </c>
      <c r="D27" s="114" t="s">
        <v>133</v>
      </c>
      <c r="E27" s="114"/>
      <c r="F27" s="233" t="s">
        <v>134</v>
      </c>
      <c r="G27" s="234">
        <v>46670</v>
      </c>
      <c r="H27" s="119"/>
      <c r="I27" s="119"/>
      <c r="J27" s="119"/>
      <c r="K27" s="119"/>
      <c r="L27" s="119"/>
      <c r="M27" s="119"/>
      <c r="N27" s="111" t="s">
        <v>135</v>
      </c>
      <c r="O27" s="114" t="s">
        <v>132</v>
      </c>
      <c r="P27" s="114">
        <v>2.1970000000000001</v>
      </c>
      <c r="Q27" s="128">
        <v>2.2000000000000002</v>
      </c>
      <c r="R27" s="114">
        <v>1.032</v>
      </c>
      <c r="S27" s="132">
        <v>1.02</v>
      </c>
      <c r="T27" s="114">
        <v>415</v>
      </c>
      <c r="U27" s="114">
        <v>435</v>
      </c>
      <c r="V27" s="114">
        <v>160</v>
      </c>
      <c r="W27" s="114">
        <v>158</v>
      </c>
      <c r="X27" s="114">
        <v>6.99</v>
      </c>
      <c r="Y27" s="138">
        <v>6.9</v>
      </c>
      <c r="Z27" s="129">
        <f t="shared" si="0"/>
        <v>1.0130434782608695</v>
      </c>
      <c r="AA27" s="119"/>
      <c r="AB27" s="119"/>
      <c r="AC27" s="114" t="s">
        <v>136</v>
      </c>
      <c r="AD27" s="116">
        <v>46493</v>
      </c>
      <c r="AE27" s="114" t="s">
        <v>132</v>
      </c>
      <c r="AF27" s="119"/>
      <c r="AG27" s="114" t="s">
        <v>42</v>
      </c>
      <c r="AH27" s="114" t="s">
        <v>132</v>
      </c>
      <c r="AI27" s="114" t="s">
        <v>137</v>
      </c>
    </row>
    <row r="28" spans="1:35" ht="15.75" customHeight="1">
      <c r="A28" s="114" t="s">
        <v>35</v>
      </c>
      <c r="B28" s="98" t="s">
        <v>36</v>
      </c>
      <c r="C28" s="114" t="s">
        <v>138</v>
      </c>
      <c r="D28" s="114" t="s">
        <v>139</v>
      </c>
      <c r="E28" s="114"/>
      <c r="F28" s="233" t="s">
        <v>134</v>
      </c>
      <c r="G28" s="234">
        <v>46670</v>
      </c>
      <c r="H28" s="119"/>
      <c r="I28" s="119"/>
      <c r="J28" s="119"/>
      <c r="K28" s="119"/>
      <c r="L28" s="119"/>
      <c r="M28" s="119"/>
      <c r="N28" s="111" t="s">
        <v>135</v>
      </c>
      <c r="O28" s="114" t="s">
        <v>138</v>
      </c>
      <c r="P28" s="114">
        <v>2.8849999999999998</v>
      </c>
      <c r="Q28" s="128">
        <v>2.8</v>
      </c>
      <c r="R28" s="114">
        <v>1.2669999999999999</v>
      </c>
      <c r="S28" s="132">
        <v>1.29</v>
      </c>
      <c r="T28" s="114">
        <v>594</v>
      </c>
      <c r="U28" s="114">
        <v>600</v>
      </c>
      <c r="V28" s="114">
        <v>202</v>
      </c>
      <c r="W28" s="114">
        <v>206</v>
      </c>
      <c r="X28" s="114">
        <v>6.69</v>
      </c>
      <c r="Y28" s="138">
        <v>6.6</v>
      </c>
      <c r="Z28" s="129">
        <f t="shared" si="0"/>
        <v>1.0136363636363637</v>
      </c>
      <c r="AA28" s="119"/>
      <c r="AB28" s="119"/>
      <c r="AC28" s="114" t="s">
        <v>136</v>
      </c>
      <c r="AD28" s="116">
        <v>46493</v>
      </c>
      <c r="AE28" s="114" t="s">
        <v>138</v>
      </c>
      <c r="AF28" s="119"/>
      <c r="AG28" s="114" t="s">
        <v>42</v>
      </c>
      <c r="AH28" s="114" t="s">
        <v>138</v>
      </c>
      <c r="AI28" s="114" t="s">
        <v>140</v>
      </c>
    </row>
    <row r="29" spans="1:35">
      <c r="A29" s="114" t="s">
        <v>35</v>
      </c>
      <c r="B29" s="98" t="s">
        <v>36</v>
      </c>
      <c r="C29" s="114" t="s">
        <v>141</v>
      </c>
      <c r="D29" s="114" t="s">
        <v>142</v>
      </c>
      <c r="E29" s="114"/>
      <c r="F29" s="114" t="s">
        <v>143</v>
      </c>
      <c r="G29" s="116">
        <v>46675</v>
      </c>
      <c r="H29" s="119"/>
      <c r="I29" s="119"/>
      <c r="J29" s="119"/>
      <c r="K29" s="119"/>
      <c r="L29" s="119"/>
      <c r="M29" s="119"/>
      <c r="N29" s="111" t="s">
        <v>144</v>
      </c>
      <c r="O29" s="114" t="s">
        <v>141</v>
      </c>
      <c r="P29" s="128">
        <v>3.5680000000000001</v>
      </c>
      <c r="Q29" s="128">
        <v>3.5</v>
      </c>
      <c r="R29" s="114">
        <v>1.706</v>
      </c>
      <c r="S29" s="132">
        <v>1.71</v>
      </c>
      <c r="T29" s="114">
        <v>764</v>
      </c>
      <c r="U29" s="114">
        <v>780</v>
      </c>
      <c r="V29" s="114">
        <v>260</v>
      </c>
      <c r="W29" s="114">
        <v>257</v>
      </c>
      <c r="X29" s="114">
        <v>6.83</v>
      </c>
      <c r="Y29" s="138">
        <v>6.84</v>
      </c>
      <c r="Z29" s="129">
        <f t="shared" si="0"/>
        <v>0.9985380116959065</v>
      </c>
      <c r="AA29" s="119"/>
      <c r="AB29" s="119"/>
      <c r="AC29" s="114" t="s">
        <v>136</v>
      </c>
      <c r="AD29" s="116">
        <v>46493</v>
      </c>
      <c r="AE29" s="114" t="s">
        <v>141</v>
      </c>
      <c r="AF29" s="119"/>
      <c r="AG29" s="114" t="s">
        <v>42</v>
      </c>
      <c r="AH29" s="114" t="s">
        <v>141</v>
      </c>
      <c r="AI29" s="114" t="s">
        <v>145</v>
      </c>
    </row>
    <row r="30" spans="1:35" ht="15.75" customHeight="1">
      <c r="A30" s="114" t="s">
        <v>35</v>
      </c>
      <c r="B30" s="98" t="s">
        <v>36</v>
      </c>
      <c r="C30" s="114" t="s">
        <v>146</v>
      </c>
      <c r="D30" s="114" t="s">
        <v>147</v>
      </c>
      <c r="E30" s="114"/>
      <c r="F30" s="233" t="s">
        <v>148</v>
      </c>
      <c r="G30" s="234">
        <v>46687</v>
      </c>
      <c r="H30" s="119"/>
      <c r="I30" s="119"/>
      <c r="J30" s="119"/>
      <c r="K30" s="119"/>
      <c r="L30" s="119"/>
      <c r="M30" s="119"/>
      <c r="N30" s="111" t="s">
        <v>149</v>
      </c>
      <c r="O30" s="114" t="s">
        <v>146</v>
      </c>
      <c r="P30" s="128">
        <v>4.1920000000000002</v>
      </c>
      <c r="Q30" s="128">
        <v>4.0999999999999996</v>
      </c>
      <c r="R30" s="114">
        <v>1.9470000000000001</v>
      </c>
      <c r="S30" s="132">
        <v>1.94</v>
      </c>
      <c r="T30" s="114">
        <v>994</v>
      </c>
      <c r="U30" s="114">
        <v>995</v>
      </c>
      <c r="V30" s="114">
        <v>307</v>
      </c>
      <c r="W30" s="114">
        <v>301</v>
      </c>
      <c r="X30" s="114">
        <v>6.48</v>
      </c>
      <c r="Y30" s="138">
        <v>6.52</v>
      </c>
      <c r="Z30" s="129">
        <f t="shared" si="0"/>
        <v>0.99386503067484677</v>
      </c>
      <c r="AA30" s="119"/>
      <c r="AB30" s="119"/>
      <c r="AC30" s="114" t="s">
        <v>136</v>
      </c>
      <c r="AD30" s="116">
        <v>46493</v>
      </c>
      <c r="AE30" s="114" t="s">
        <v>146</v>
      </c>
      <c r="AF30" s="119"/>
      <c r="AG30" s="114" t="s">
        <v>42</v>
      </c>
      <c r="AH30" s="114" t="s">
        <v>146</v>
      </c>
      <c r="AI30" s="114" t="s">
        <v>150</v>
      </c>
    </row>
    <row r="31" spans="1:35" ht="15.6" customHeight="1">
      <c r="A31" s="114" t="s">
        <v>35</v>
      </c>
      <c r="B31" s="98" t="s">
        <v>36</v>
      </c>
      <c r="C31" s="114" t="s">
        <v>151</v>
      </c>
      <c r="D31" s="114" t="s">
        <v>152</v>
      </c>
      <c r="E31" s="114"/>
      <c r="F31" s="233" t="s">
        <v>148</v>
      </c>
      <c r="G31" s="234">
        <v>46687</v>
      </c>
      <c r="H31" s="119"/>
      <c r="I31" s="119"/>
      <c r="J31" s="119"/>
      <c r="K31" s="119"/>
      <c r="L31" s="119"/>
      <c r="M31" s="119"/>
      <c r="N31" s="111" t="s">
        <v>149</v>
      </c>
      <c r="O31" s="114" t="s">
        <v>151</v>
      </c>
      <c r="P31" s="128">
        <v>5.0919999999999996</v>
      </c>
      <c r="Q31" s="128">
        <v>5</v>
      </c>
      <c r="R31" s="114">
        <v>2.3610000000000002</v>
      </c>
      <c r="S31" s="132">
        <v>2.41</v>
      </c>
      <c r="T31" s="114">
        <v>1368</v>
      </c>
      <c r="U31" s="114">
        <v>1370</v>
      </c>
      <c r="V31" s="114">
        <v>394</v>
      </c>
      <c r="W31" s="114">
        <v>404</v>
      </c>
      <c r="X31" s="114">
        <v>6.01</v>
      </c>
      <c r="Y31" s="138">
        <v>5.97</v>
      </c>
      <c r="Z31" s="129">
        <f t="shared" si="0"/>
        <v>1.0067001675041876</v>
      </c>
      <c r="AA31" s="119"/>
      <c r="AB31" s="119"/>
      <c r="AC31" s="114" t="s">
        <v>136</v>
      </c>
      <c r="AD31" s="116">
        <v>46493</v>
      </c>
      <c r="AE31" s="114" t="s">
        <v>151</v>
      </c>
      <c r="AF31" s="119"/>
      <c r="AG31" s="114" t="s">
        <v>42</v>
      </c>
      <c r="AH31" s="114" t="s">
        <v>151</v>
      </c>
      <c r="AI31" s="114" t="s">
        <v>153</v>
      </c>
    </row>
    <row r="32" spans="1:35">
      <c r="A32" s="114" t="s">
        <v>35</v>
      </c>
      <c r="B32" s="98" t="s">
        <v>36</v>
      </c>
      <c r="C32" s="114" t="s">
        <v>154</v>
      </c>
      <c r="D32" s="114" t="s">
        <v>155</v>
      </c>
      <c r="E32" s="114"/>
      <c r="F32" s="114" t="s">
        <v>156</v>
      </c>
      <c r="G32" s="116">
        <v>46696</v>
      </c>
      <c r="H32" s="119"/>
      <c r="I32" s="119"/>
      <c r="J32" s="119"/>
      <c r="K32" s="119"/>
      <c r="L32" s="119"/>
      <c r="M32" s="119"/>
      <c r="N32" s="111" t="s">
        <v>157</v>
      </c>
      <c r="O32" s="114" t="s">
        <v>154</v>
      </c>
      <c r="P32" s="128">
        <v>6.1970000000000001</v>
      </c>
      <c r="Q32" s="128">
        <v>6</v>
      </c>
      <c r="R32" s="114">
        <v>2.9239999999999999</v>
      </c>
      <c r="S32" s="132">
        <v>2.82</v>
      </c>
      <c r="T32" s="114">
        <v>1529</v>
      </c>
      <c r="U32" s="114">
        <v>1580</v>
      </c>
      <c r="V32" s="114">
        <v>454</v>
      </c>
      <c r="W32" s="114">
        <v>466</v>
      </c>
      <c r="X32" s="114">
        <v>6.36</v>
      </c>
      <c r="Y32" s="138">
        <v>6.2</v>
      </c>
      <c r="Z32" s="129">
        <f t="shared" si="0"/>
        <v>1.0258064516129033</v>
      </c>
      <c r="AA32" s="119"/>
      <c r="AB32" s="119"/>
      <c r="AC32" s="114" t="s">
        <v>158</v>
      </c>
      <c r="AD32" s="116">
        <v>46493</v>
      </c>
      <c r="AE32" s="114" t="s">
        <v>154</v>
      </c>
      <c r="AF32" s="119"/>
      <c r="AG32" s="114" t="s">
        <v>42</v>
      </c>
      <c r="AH32" s="114" t="s">
        <v>154</v>
      </c>
      <c r="AI32" s="114" t="s">
        <v>159</v>
      </c>
    </row>
    <row r="33" spans="1:35" ht="15.75" customHeight="1">
      <c r="A33" s="114" t="s">
        <v>35</v>
      </c>
      <c r="B33" s="98" t="s">
        <v>36</v>
      </c>
      <c r="C33" s="114" t="s">
        <v>160</v>
      </c>
      <c r="D33" s="114" t="s">
        <v>161</v>
      </c>
      <c r="E33" s="114"/>
      <c r="F33" s="114" t="s">
        <v>162</v>
      </c>
      <c r="G33" s="116">
        <v>46698</v>
      </c>
      <c r="H33" s="119"/>
      <c r="I33" s="119"/>
      <c r="J33" s="119"/>
      <c r="K33" s="119"/>
      <c r="L33" s="119"/>
      <c r="M33" s="119"/>
      <c r="N33" s="111" t="s">
        <v>163</v>
      </c>
      <c r="O33" s="114" t="s">
        <v>160</v>
      </c>
      <c r="P33" s="128">
        <v>7.3840000000000003</v>
      </c>
      <c r="Q33" s="128">
        <v>7.2</v>
      </c>
      <c r="R33" s="114">
        <v>3.4670000000000001</v>
      </c>
      <c r="S33" s="132">
        <v>3.5</v>
      </c>
      <c r="T33" s="114">
        <v>2087</v>
      </c>
      <c r="U33" s="114">
        <v>2090</v>
      </c>
      <c r="V33" s="114">
        <v>605</v>
      </c>
      <c r="W33" s="114">
        <v>590</v>
      </c>
      <c r="X33" s="114">
        <v>5.75</v>
      </c>
      <c r="Y33" s="138">
        <v>5.86</v>
      </c>
      <c r="Z33" s="129">
        <f t="shared" si="0"/>
        <v>0.98122866894197946</v>
      </c>
      <c r="AA33" s="119"/>
      <c r="AB33" s="119"/>
      <c r="AC33" s="114" t="s">
        <v>158</v>
      </c>
      <c r="AD33" s="116">
        <v>46493</v>
      </c>
      <c r="AE33" s="114" t="s">
        <v>160</v>
      </c>
      <c r="AF33" s="119"/>
      <c r="AG33" s="114" t="s">
        <v>42</v>
      </c>
      <c r="AH33" s="114" t="s">
        <v>160</v>
      </c>
      <c r="AI33" s="114" t="s">
        <v>164</v>
      </c>
    </row>
    <row r="34" spans="1:35">
      <c r="A34" s="114" t="s">
        <v>35</v>
      </c>
      <c r="B34" s="98" t="s">
        <v>36</v>
      </c>
      <c r="C34" s="114" t="s">
        <v>165</v>
      </c>
      <c r="D34" s="114" t="s">
        <v>166</v>
      </c>
      <c r="E34" s="114"/>
      <c r="F34" s="233" t="s">
        <v>167</v>
      </c>
      <c r="G34" s="234">
        <v>46698</v>
      </c>
      <c r="H34" s="119"/>
      <c r="I34" s="119"/>
      <c r="J34" s="119"/>
      <c r="K34" s="119"/>
      <c r="L34" s="119"/>
      <c r="M34" s="119"/>
      <c r="N34" s="111" t="s">
        <v>168</v>
      </c>
      <c r="O34" s="114" t="s">
        <v>165</v>
      </c>
      <c r="P34" s="128">
        <v>8.2430000000000003</v>
      </c>
      <c r="Q34" s="128">
        <v>8</v>
      </c>
      <c r="R34" s="132">
        <v>3.6520000000000001</v>
      </c>
      <c r="S34" s="132">
        <v>3.68</v>
      </c>
      <c r="T34" s="114">
        <v>2134</v>
      </c>
      <c r="U34" s="114">
        <v>2120</v>
      </c>
      <c r="V34" s="114">
        <v>630</v>
      </c>
      <c r="W34" s="114">
        <v>621</v>
      </c>
      <c r="X34" s="114">
        <v>5.92</v>
      </c>
      <c r="Y34" s="138">
        <v>5.98</v>
      </c>
      <c r="Z34" s="129">
        <f t="shared" si="0"/>
        <v>0.98996655518394638</v>
      </c>
      <c r="AA34" s="119"/>
      <c r="AB34" s="119"/>
      <c r="AC34" s="114" t="s">
        <v>158</v>
      </c>
      <c r="AD34" s="116">
        <v>46493</v>
      </c>
      <c r="AE34" s="114" t="s">
        <v>165</v>
      </c>
      <c r="AF34" s="119"/>
      <c r="AG34" s="114" t="s">
        <v>42</v>
      </c>
      <c r="AH34" s="114" t="s">
        <v>165</v>
      </c>
      <c r="AI34" s="114" t="s">
        <v>169</v>
      </c>
    </row>
    <row r="35" spans="1:35" ht="15.6" customHeight="1">
      <c r="A35" s="114" t="s">
        <v>35</v>
      </c>
      <c r="B35" s="98" t="s">
        <v>36</v>
      </c>
      <c r="C35" s="114" t="s">
        <v>170</v>
      </c>
      <c r="D35" s="114" t="s">
        <v>171</v>
      </c>
      <c r="E35" s="114"/>
      <c r="F35" s="233" t="s">
        <v>167</v>
      </c>
      <c r="G35" s="234">
        <v>46698</v>
      </c>
      <c r="H35" s="119"/>
      <c r="I35" s="119"/>
      <c r="J35" s="119"/>
      <c r="K35" s="119"/>
      <c r="L35" s="119"/>
      <c r="M35" s="119"/>
      <c r="N35" s="111" t="s">
        <v>168</v>
      </c>
      <c r="O35" s="114" t="s">
        <v>170</v>
      </c>
      <c r="P35" s="128">
        <v>9.0760000000000005</v>
      </c>
      <c r="Q35" s="128">
        <v>8.6999999999999993</v>
      </c>
      <c r="R35" s="132">
        <v>4.0519999999999996</v>
      </c>
      <c r="S35" s="132">
        <v>4.01</v>
      </c>
      <c r="T35" s="114">
        <v>2384</v>
      </c>
      <c r="U35" s="114">
        <v>2400</v>
      </c>
      <c r="V35" s="114">
        <v>724</v>
      </c>
      <c r="W35" s="114">
        <v>702</v>
      </c>
      <c r="X35" s="114">
        <v>5.75</v>
      </c>
      <c r="Y35" s="138">
        <v>5.76</v>
      </c>
      <c r="Z35" s="129">
        <f t="shared" ref="Z35:Z66" si="1">X35/Y35</f>
        <v>0.99826388888888895</v>
      </c>
      <c r="AA35" s="119"/>
      <c r="AB35" s="119"/>
      <c r="AC35" s="114" t="s">
        <v>158</v>
      </c>
      <c r="AD35" s="116">
        <v>46493</v>
      </c>
      <c r="AE35" s="114" t="s">
        <v>170</v>
      </c>
      <c r="AF35" s="119"/>
      <c r="AG35" s="114" t="s">
        <v>42</v>
      </c>
      <c r="AH35" s="114" t="s">
        <v>170</v>
      </c>
      <c r="AI35" s="114" t="s">
        <v>172</v>
      </c>
    </row>
    <row r="36" spans="1:35">
      <c r="A36" s="114" t="s">
        <v>173</v>
      </c>
      <c r="B36" s="98" t="s">
        <v>36</v>
      </c>
      <c r="C36" s="114" t="s">
        <v>174</v>
      </c>
      <c r="D36" s="114" t="s">
        <v>175</v>
      </c>
      <c r="E36" s="114"/>
      <c r="F36" s="233" t="s">
        <v>176</v>
      </c>
      <c r="G36" s="234">
        <v>46388</v>
      </c>
      <c r="H36" s="119"/>
      <c r="I36" s="119"/>
      <c r="J36" s="119"/>
      <c r="K36" s="119"/>
      <c r="L36" s="119"/>
      <c r="M36" s="119"/>
      <c r="N36" s="111" t="s">
        <v>177</v>
      </c>
      <c r="O36" s="114" t="s">
        <v>174</v>
      </c>
      <c r="P36" s="114">
        <v>2.391</v>
      </c>
      <c r="Q36" s="136">
        <v>2.2000000000000002</v>
      </c>
      <c r="R36" s="114">
        <v>1.099</v>
      </c>
      <c r="S36" s="114">
        <v>1.0469999999999999</v>
      </c>
      <c r="T36" s="114">
        <v>371</v>
      </c>
      <c r="U36" s="114">
        <v>360</v>
      </c>
      <c r="V36" s="114">
        <v>145.9</v>
      </c>
      <c r="W36" s="114">
        <v>147</v>
      </c>
      <c r="X36" s="114">
        <v>8.26</v>
      </c>
      <c r="Y36" s="114">
        <v>7.81</v>
      </c>
      <c r="Z36" s="129">
        <f t="shared" si="1"/>
        <v>1.0576184379001281</v>
      </c>
      <c r="AA36" s="119"/>
      <c r="AB36" s="119"/>
      <c r="AC36" s="114" t="s">
        <v>178</v>
      </c>
      <c r="AD36" s="116">
        <v>46163</v>
      </c>
      <c r="AE36" s="114" t="s">
        <v>174</v>
      </c>
      <c r="AF36" s="119"/>
      <c r="AG36" s="114" t="s">
        <v>42</v>
      </c>
      <c r="AH36" s="114" t="s">
        <v>174</v>
      </c>
      <c r="AI36" s="114" t="s">
        <v>179</v>
      </c>
    </row>
    <row r="37" spans="1:35" ht="15.75" customHeight="1">
      <c r="A37" s="114" t="s">
        <v>173</v>
      </c>
      <c r="B37" s="98" t="s">
        <v>36</v>
      </c>
      <c r="C37" s="114" t="s">
        <v>180</v>
      </c>
      <c r="D37" s="114" t="s">
        <v>181</v>
      </c>
      <c r="E37" s="114"/>
      <c r="F37" s="233" t="s">
        <v>176</v>
      </c>
      <c r="G37" s="234">
        <v>46388</v>
      </c>
      <c r="H37" s="119"/>
      <c r="I37" s="119"/>
      <c r="J37" s="119"/>
      <c r="K37" s="119"/>
      <c r="L37" s="119"/>
      <c r="M37" s="119"/>
      <c r="N37" s="111" t="s">
        <v>177</v>
      </c>
      <c r="O37" s="114" t="s">
        <v>180</v>
      </c>
      <c r="P37" s="114">
        <v>2.9979</v>
      </c>
      <c r="Q37" s="136">
        <v>2.8</v>
      </c>
      <c r="R37" s="114">
        <v>1.4023000000000001</v>
      </c>
      <c r="S37" s="114">
        <v>1.3360000000000001</v>
      </c>
      <c r="T37" s="114">
        <v>512.29999999999995</v>
      </c>
      <c r="U37" s="114">
        <v>496</v>
      </c>
      <c r="V37" s="114">
        <v>188.1</v>
      </c>
      <c r="W37" s="114">
        <v>192</v>
      </c>
      <c r="X37" s="114">
        <v>7.97</v>
      </c>
      <c r="Y37" s="114">
        <v>7.51</v>
      </c>
      <c r="Z37" s="129">
        <f t="shared" si="1"/>
        <v>1.0612516644474035</v>
      </c>
      <c r="AA37" s="119"/>
      <c r="AB37" s="119"/>
      <c r="AC37" s="114" t="s">
        <v>178</v>
      </c>
      <c r="AD37" s="116">
        <v>46163</v>
      </c>
      <c r="AE37" s="114" t="s">
        <v>180</v>
      </c>
      <c r="AF37" s="119"/>
      <c r="AG37" s="114" t="s">
        <v>42</v>
      </c>
      <c r="AH37" s="114" t="s">
        <v>180</v>
      </c>
      <c r="AI37" s="114" t="s">
        <v>182</v>
      </c>
    </row>
    <row r="38" spans="1:35" ht="15.6" customHeight="1">
      <c r="A38" s="114" t="s">
        <v>173</v>
      </c>
      <c r="B38" s="98" t="s">
        <v>36</v>
      </c>
      <c r="C38" s="114" t="s">
        <v>183</v>
      </c>
      <c r="D38" s="114" t="s">
        <v>184</v>
      </c>
      <c r="E38" s="114"/>
      <c r="F38" s="233" t="s">
        <v>176</v>
      </c>
      <c r="G38" s="234">
        <v>46388</v>
      </c>
      <c r="H38" s="119"/>
      <c r="I38" s="119"/>
      <c r="J38" s="119"/>
      <c r="K38" s="119"/>
      <c r="L38" s="119"/>
      <c r="M38" s="119"/>
      <c r="N38" s="111" t="s">
        <v>177</v>
      </c>
      <c r="O38" s="114" t="s">
        <v>183</v>
      </c>
      <c r="P38" s="114">
        <v>3.7719</v>
      </c>
      <c r="Q38" s="136">
        <v>3.5</v>
      </c>
      <c r="R38" s="114">
        <v>1.7536</v>
      </c>
      <c r="S38" s="114">
        <v>1.671</v>
      </c>
      <c r="T38" s="114">
        <v>760.6</v>
      </c>
      <c r="U38" s="114">
        <v>734</v>
      </c>
      <c r="V38" s="114">
        <v>237.3</v>
      </c>
      <c r="W38" s="114">
        <v>244</v>
      </c>
      <c r="X38" s="114">
        <v>7.57</v>
      </c>
      <c r="Y38" s="114">
        <v>7.09</v>
      </c>
      <c r="Z38" s="129">
        <f t="shared" si="1"/>
        <v>1.067700987306065</v>
      </c>
      <c r="AA38" s="119"/>
      <c r="AB38" s="119"/>
      <c r="AC38" s="114" t="s">
        <v>178</v>
      </c>
      <c r="AD38" s="116">
        <v>46163</v>
      </c>
      <c r="AE38" s="114" t="s">
        <v>183</v>
      </c>
      <c r="AF38" s="119"/>
      <c r="AG38" s="114" t="s">
        <v>42</v>
      </c>
      <c r="AH38" s="114" t="s">
        <v>183</v>
      </c>
      <c r="AI38" s="114" t="s">
        <v>185</v>
      </c>
    </row>
    <row r="39" spans="1:35" ht="15.75" customHeight="1">
      <c r="A39" s="114" t="s">
        <v>173</v>
      </c>
      <c r="B39" s="98" t="s">
        <v>36</v>
      </c>
      <c r="C39" s="114" t="s">
        <v>186</v>
      </c>
      <c r="D39" s="114" t="s">
        <v>187</v>
      </c>
      <c r="E39" s="114"/>
      <c r="F39" s="114" t="s">
        <v>188</v>
      </c>
      <c r="G39" s="116">
        <v>46389</v>
      </c>
      <c r="H39" s="119"/>
      <c r="I39" s="119"/>
      <c r="J39" s="119"/>
      <c r="K39" s="119"/>
      <c r="L39" s="119"/>
      <c r="M39" s="119"/>
      <c r="N39" s="111" t="s">
        <v>189</v>
      </c>
      <c r="O39" s="114" t="s">
        <v>186</v>
      </c>
      <c r="P39" s="114">
        <v>4.4683999999999999</v>
      </c>
      <c r="Q39" s="136">
        <v>4.0999999999999996</v>
      </c>
      <c r="R39" s="114">
        <v>2.0979000000000001</v>
      </c>
      <c r="S39" s="136">
        <v>2</v>
      </c>
      <c r="T39" s="114">
        <v>850.9</v>
      </c>
      <c r="U39" s="114">
        <v>850</v>
      </c>
      <c r="V39" s="114">
        <v>270.89999999999998</v>
      </c>
      <c r="W39" s="114">
        <v>291</v>
      </c>
      <c r="X39" s="114">
        <v>7.96</v>
      </c>
      <c r="Y39" s="114">
        <v>7.13</v>
      </c>
      <c r="Z39" s="129">
        <f t="shared" si="1"/>
        <v>1.1164095371669005</v>
      </c>
      <c r="AA39" s="119"/>
      <c r="AB39" s="119"/>
      <c r="AC39" s="114" t="s">
        <v>178</v>
      </c>
      <c r="AD39" s="116">
        <v>46163</v>
      </c>
      <c r="AE39" s="114" t="s">
        <v>186</v>
      </c>
      <c r="AF39" s="119"/>
      <c r="AG39" s="114" t="s">
        <v>42</v>
      </c>
      <c r="AH39" s="114" t="s">
        <v>186</v>
      </c>
      <c r="AI39" s="114" t="s">
        <v>190</v>
      </c>
    </row>
    <row r="40" spans="1:35" ht="15.75" customHeight="1">
      <c r="A40" s="114" t="s">
        <v>173</v>
      </c>
      <c r="B40" s="98" t="s">
        <v>36</v>
      </c>
      <c r="C40" s="114" t="s">
        <v>191</v>
      </c>
      <c r="D40" s="114" t="s">
        <v>192</v>
      </c>
      <c r="E40" s="114"/>
      <c r="F40" s="233" t="s">
        <v>193</v>
      </c>
      <c r="G40" s="234">
        <v>46388</v>
      </c>
      <c r="H40" s="119"/>
      <c r="I40" s="119"/>
      <c r="J40" s="119"/>
      <c r="K40" s="119"/>
      <c r="L40" s="119"/>
      <c r="M40" s="119"/>
      <c r="N40" s="111" t="s">
        <v>194</v>
      </c>
      <c r="O40" s="114" t="s">
        <v>191</v>
      </c>
      <c r="P40" s="114">
        <v>5.2176999999999998</v>
      </c>
      <c r="Q40" s="136">
        <v>5</v>
      </c>
      <c r="R40" s="114">
        <v>2.4986000000000002</v>
      </c>
      <c r="S40" s="136">
        <v>2.38</v>
      </c>
      <c r="T40" s="114">
        <v>1044.3</v>
      </c>
      <c r="U40" s="114">
        <v>1040</v>
      </c>
      <c r="V40" s="114">
        <v>343.4</v>
      </c>
      <c r="W40" s="139">
        <v>355</v>
      </c>
      <c r="X40" s="114">
        <v>7.51</v>
      </c>
      <c r="Y40" s="136">
        <v>7</v>
      </c>
      <c r="Z40" s="129">
        <f t="shared" si="1"/>
        <v>1.0728571428571427</v>
      </c>
      <c r="AA40" s="119"/>
      <c r="AB40" s="119"/>
      <c r="AC40" s="114" t="s">
        <v>178</v>
      </c>
      <c r="AD40" s="116">
        <v>46163</v>
      </c>
      <c r="AE40" s="114" t="s">
        <v>191</v>
      </c>
      <c r="AF40" s="119"/>
      <c r="AG40" s="114" t="s">
        <v>42</v>
      </c>
      <c r="AH40" s="114" t="s">
        <v>191</v>
      </c>
      <c r="AI40" s="114" t="s">
        <v>195</v>
      </c>
    </row>
    <row r="41" spans="1:35" ht="15.6" customHeight="1">
      <c r="A41" s="114" t="s">
        <v>173</v>
      </c>
      <c r="B41" s="98" t="s">
        <v>36</v>
      </c>
      <c r="C41" s="114" t="s">
        <v>196</v>
      </c>
      <c r="D41" s="114" t="s">
        <v>197</v>
      </c>
      <c r="E41" s="114"/>
      <c r="F41" s="233" t="s">
        <v>193</v>
      </c>
      <c r="G41" s="234">
        <v>46388</v>
      </c>
      <c r="H41" s="119"/>
      <c r="I41" s="119"/>
      <c r="J41" s="119"/>
      <c r="K41" s="119"/>
      <c r="L41" s="119"/>
      <c r="M41" s="119"/>
      <c r="N41" s="111" t="s">
        <v>194</v>
      </c>
      <c r="O41" s="114" t="s">
        <v>196</v>
      </c>
      <c r="P41" s="114">
        <v>6.7251000000000003</v>
      </c>
      <c r="Q41" s="136">
        <v>6.3</v>
      </c>
      <c r="R41" s="114">
        <v>3.1215999999999999</v>
      </c>
      <c r="S41" s="136">
        <v>2.98</v>
      </c>
      <c r="T41" s="137">
        <v>1600.7</v>
      </c>
      <c r="U41" s="114">
        <v>1530</v>
      </c>
      <c r="V41" s="114">
        <v>455.1</v>
      </c>
      <c r="W41" s="139">
        <v>466</v>
      </c>
      <c r="X41" s="114">
        <v>6.85</v>
      </c>
      <c r="Y41" s="114">
        <v>6.48</v>
      </c>
      <c r="Z41" s="129">
        <f t="shared" si="1"/>
        <v>1.0570987654320987</v>
      </c>
      <c r="AA41" s="119"/>
      <c r="AB41" s="119"/>
      <c r="AC41" s="114" t="s">
        <v>178</v>
      </c>
      <c r="AD41" s="116">
        <v>46163</v>
      </c>
      <c r="AE41" s="114" t="s">
        <v>196</v>
      </c>
      <c r="AF41" s="119"/>
      <c r="AG41" s="114" t="s">
        <v>42</v>
      </c>
      <c r="AH41" s="114" t="s">
        <v>196</v>
      </c>
      <c r="AI41" s="114" t="s">
        <v>198</v>
      </c>
    </row>
    <row r="42" spans="1:35">
      <c r="A42" s="114" t="s">
        <v>173</v>
      </c>
      <c r="B42" s="98" t="s">
        <v>36</v>
      </c>
      <c r="C42" s="114" t="s">
        <v>199</v>
      </c>
      <c r="D42" s="114" t="s">
        <v>200</v>
      </c>
      <c r="E42" s="114"/>
      <c r="F42" s="114" t="s">
        <v>201</v>
      </c>
      <c r="G42" s="116">
        <v>46388</v>
      </c>
      <c r="H42" s="119"/>
      <c r="I42" s="119"/>
      <c r="J42" s="119"/>
      <c r="K42" s="119"/>
      <c r="L42" s="119"/>
      <c r="M42" s="119"/>
      <c r="N42" s="111" t="s">
        <v>202</v>
      </c>
      <c r="O42" s="114" t="s">
        <v>199</v>
      </c>
      <c r="P42" s="114">
        <v>7.3933</v>
      </c>
      <c r="Q42" s="136">
        <v>7.2</v>
      </c>
      <c r="R42" s="114">
        <v>3.5503</v>
      </c>
      <c r="S42" s="136">
        <v>3.3820000000000001</v>
      </c>
      <c r="T42" s="114">
        <v>1892.4</v>
      </c>
      <c r="U42" s="114">
        <v>1890</v>
      </c>
      <c r="V42" s="114">
        <v>514</v>
      </c>
      <c r="W42" s="114">
        <v>540</v>
      </c>
      <c r="X42" s="114">
        <v>6.77</v>
      </c>
      <c r="Y42" s="114">
        <v>6.25</v>
      </c>
      <c r="Z42" s="129">
        <f t="shared" si="1"/>
        <v>1.0831999999999999</v>
      </c>
      <c r="AA42" s="119"/>
      <c r="AB42" s="119"/>
      <c r="AC42" s="114" t="s">
        <v>203</v>
      </c>
      <c r="AD42" s="116">
        <v>46163</v>
      </c>
      <c r="AE42" s="114" t="s">
        <v>199</v>
      </c>
      <c r="AF42" s="119"/>
      <c r="AG42" s="114" t="s">
        <v>42</v>
      </c>
      <c r="AH42" s="114" t="s">
        <v>199</v>
      </c>
      <c r="AI42" s="114" t="s">
        <v>204</v>
      </c>
    </row>
    <row r="43" spans="1:35" ht="15.75" customHeight="1">
      <c r="A43" s="114" t="s">
        <v>60</v>
      </c>
      <c r="B43" s="114" t="s">
        <v>74</v>
      </c>
      <c r="C43" s="114" t="s">
        <v>205</v>
      </c>
      <c r="D43" s="114"/>
      <c r="E43" s="114"/>
      <c r="F43" s="233" t="s">
        <v>206</v>
      </c>
      <c r="G43" s="234">
        <v>46187</v>
      </c>
      <c r="H43" s="119"/>
      <c r="I43" s="119"/>
      <c r="J43" s="119"/>
      <c r="K43" s="119"/>
      <c r="L43" s="119"/>
      <c r="M43" s="119"/>
      <c r="N43" s="111" t="s">
        <v>207</v>
      </c>
      <c r="O43" s="114" t="s">
        <v>205</v>
      </c>
      <c r="P43" s="114">
        <v>8.57</v>
      </c>
      <c r="Q43" s="114">
        <v>8.5</v>
      </c>
      <c r="R43" s="114">
        <v>4.28</v>
      </c>
      <c r="S43" s="114">
        <v>4.28</v>
      </c>
      <c r="T43" s="114">
        <v>2247</v>
      </c>
      <c r="U43" s="114">
        <v>2330</v>
      </c>
      <c r="V43" s="114">
        <v>765</v>
      </c>
      <c r="W43" s="114">
        <v>765</v>
      </c>
      <c r="X43" s="114">
        <v>5.71</v>
      </c>
      <c r="Y43" s="114">
        <v>5.77</v>
      </c>
      <c r="Z43" s="129">
        <f t="shared" si="1"/>
        <v>0.98960138648180251</v>
      </c>
      <c r="AA43" s="119"/>
      <c r="AB43" s="119"/>
      <c r="AC43" s="114"/>
      <c r="AD43" s="114"/>
      <c r="AE43" s="114"/>
      <c r="AF43" s="119"/>
      <c r="AG43" s="114" t="s">
        <v>42</v>
      </c>
      <c r="AH43" s="114" t="s">
        <v>205</v>
      </c>
      <c r="AI43" s="114" t="s">
        <v>208</v>
      </c>
    </row>
    <row r="44" spans="1:35" ht="15.6" customHeight="1">
      <c r="A44" s="114" t="s">
        <v>60</v>
      </c>
      <c r="B44" s="114" t="s">
        <v>74</v>
      </c>
      <c r="C44" s="114" t="s">
        <v>209</v>
      </c>
      <c r="D44" s="111"/>
      <c r="E44" s="114"/>
      <c r="F44" s="233" t="s">
        <v>206</v>
      </c>
      <c r="G44" s="234">
        <v>46187</v>
      </c>
      <c r="H44" s="119"/>
      <c r="I44" s="119"/>
      <c r="J44" s="119"/>
      <c r="K44" s="119"/>
      <c r="L44" s="119"/>
      <c r="M44" s="119"/>
      <c r="N44" s="111" t="s">
        <v>210</v>
      </c>
      <c r="O44" s="114" t="s">
        <v>209</v>
      </c>
      <c r="P44" s="114">
        <v>8.57</v>
      </c>
      <c r="Q44" s="114">
        <v>8.5</v>
      </c>
      <c r="R44" s="114">
        <v>4.28</v>
      </c>
      <c r="S44" s="114">
        <v>4.28</v>
      </c>
      <c r="T44" s="114">
        <v>2247</v>
      </c>
      <c r="U44" s="114">
        <v>2330</v>
      </c>
      <c r="V44" s="114">
        <v>765</v>
      </c>
      <c r="W44" s="114">
        <v>765</v>
      </c>
      <c r="X44" s="114">
        <v>5.71</v>
      </c>
      <c r="Y44" s="114">
        <v>5.77</v>
      </c>
      <c r="Z44" s="129">
        <f t="shared" si="1"/>
        <v>0.98960138648180251</v>
      </c>
      <c r="AA44" s="119"/>
      <c r="AB44" s="119"/>
      <c r="AC44" s="114"/>
      <c r="AD44" s="114"/>
      <c r="AE44" s="114"/>
      <c r="AF44" s="119"/>
      <c r="AG44" s="114" t="s">
        <v>42</v>
      </c>
      <c r="AH44" s="114" t="s">
        <v>209</v>
      </c>
      <c r="AI44" s="114" t="s">
        <v>211</v>
      </c>
    </row>
    <row r="45" spans="1:35">
      <c r="A45" s="114" t="s">
        <v>60</v>
      </c>
      <c r="B45" s="114" t="s">
        <v>74</v>
      </c>
      <c r="C45" s="114" t="s">
        <v>212</v>
      </c>
      <c r="D45" s="114"/>
      <c r="E45" s="114"/>
      <c r="F45" s="233" t="s">
        <v>213</v>
      </c>
      <c r="G45" s="234">
        <v>46192</v>
      </c>
      <c r="H45" s="119"/>
      <c r="I45" s="119"/>
      <c r="J45" s="119"/>
      <c r="K45" s="119"/>
      <c r="L45" s="119"/>
      <c r="M45" s="119"/>
      <c r="N45" s="111" t="s">
        <v>214</v>
      </c>
      <c r="O45" s="114" t="s">
        <v>212</v>
      </c>
      <c r="P45" s="114">
        <v>5.55</v>
      </c>
      <c r="Q45" s="114">
        <v>5.56</v>
      </c>
      <c r="R45" s="114">
        <v>2.88</v>
      </c>
      <c r="S45" s="114">
        <v>2.85</v>
      </c>
      <c r="T45" s="114">
        <v>1362</v>
      </c>
      <c r="U45" s="114">
        <v>1370</v>
      </c>
      <c r="V45" s="114">
        <v>533</v>
      </c>
      <c r="W45" s="114">
        <v>540</v>
      </c>
      <c r="X45" s="114">
        <v>5.72</v>
      </c>
      <c r="Y45" s="114">
        <v>5.63</v>
      </c>
      <c r="Z45" s="129">
        <f t="shared" si="1"/>
        <v>1.0159857904085257</v>
      </c>
      <c r="AA45" s="119"/>
      <c r="AB45" s="119"/>
      <c r="AC45" s="114"/>
      <c r="AD45" s="114"/>
      <c r="AE45" s="114"/>
      <c r="AF45" s="119"/>
      <c r="AG45" s="114" t="s">
        <v>42</v>
      </c>
      <c r="AH45" s="114" t="s">
        <v>212</v>
      </c>
      <c r="AI45" s="114" t="s">
        <v>215</v>
      </c>
    </row>
    <row r="46" spans="1:35" ht="15.75" customHeight="1">
      <c r="A46" s="114" t="s">
        <v>60</v>
      </c>
      <c r="B46" s="114" t="s">
        <v>74</v>
      </c>
      <c r="C46" s="114" t="s">
        <v>216</v>
      </c>
      <c r="D46" s="111"/>
      <c r="E46" s="114"/>
      <c r="F46" s="233" t="s">
        <v>213</v>
      </c>
      <c r="G46" s="234">
        <v>46192</v>
      </c>
      <c r="H46" s="119"/>
      <c r="I46" s="119"/>
      <c r="J46" s="119"/>
      <c r="K46" s="119"/>
      <c r="L46" s="119"/>
      <c r="M46" s="119"/>
      <c r="N46" s="111" t="s">
        <v>217</v>
      </c>
      <c r="O46" s="114" t="s">
        <v>216</v>
      </c>
      <c r="P46" s="114">
        <v>5.55</v>
      </c>
      <c r="Q46" s="114">
        <v>5.56</v>
      </c>
      <c r="R46" s="114">
        <v>2.88</v>
      </c>
      <c r="S46" s="114">
        <v>2.85</v>
      </c>
      <c r="T46" s="114">
        <v>1362</v>
      </c>
      <c r="U46" s="114">
        <v>1370</v>
      </c>
      <c r="V46" s="114">
        <v>533</v>
      </c>
      <c r="W46" s="114">
        <v>540</v>
      </c>
      <c r="X46" s="114">
        <v>5.72</v>
      </c>
      <c r="Y46" s="114">
        <v>5.63</v>
      </c>
      <c r="Z46" s="129">
        <f t="shared" si="1"/>
        <v>1.0159857904085257</v>
      </c>
      <c r="AA46" s="119"/>
      <c r="AB46" s="119"/>
      <c r="AC46" s="114"/>
      <c r="AD46" s="114"/>
      <c r="AE46" s="114"/>
      <c r="AF46" s="119"/>
      <c r="AG46" s="114" t="s">
        <v>42</v>
      </c>
      <c r="AH46" s="114" t="s">
        <v>216</v>
      </c>
      <c r="AI46" s="114" t="s">
        <v>218</v>
      </c>
    </row>
    <row r="47" spans="1:35" ht="15.6" customHeight="1">
      <c r="A47" s="114" t="s">
        <v>60</v>
      </c>
      <c r="B47" s="114" t="s">
        <v>74</v>
      </c>
      <c r="C47" s="114" t="s">
        <v>219</v>
      </c>
      <c r="D47" s="114"/>
      <c r="E47" s="114"/>
      <c r="F47" s="233" t="s">
        <v>213</v>
      </c>
      <c r="G47" s="234">
        <v>46192</v>
      </c>
      <c r="H47" s="119"/>
      <c r="I47" s="119"/>
      <c r="J47" s="119"/>
      <c r="K47" s="119"/>
      <c r="L47" s="119"/>
      <c r="M47" s="119"/>
      <c r="N47" s="111" t="s">
        <v>214</v>
      </c>
      <c r="O47" s="114" t="s">
        <v>219</v>
      </c>
      <c r="P47" s="114">
        <v>7.58</v>
      </c>
      <c r="Q47" s="114">
        <v>7.2</v>
      </c>
      <c r="R47" s="114">
        <v>3.46</v>
      </c>
      <c r="S47" s="114">
        <v>3.45</v>
      </c>
      <c r="T47" s="114">
        <v>1930</v>
      </c>
      <c r="U47" s="114">
        <v>2000</v>
      </c>
      <c r="V47" s="114">
        <v>636</v>
      </c>
      <c r="W47" s="114">
        <v>640</v>
      </c>
      <c r="X47" s="114">
        <v>5.69</v>
      </c>
      <c r="Y47" s="114">
        <v>5.52</v>
      </c>
      <c r="Z47" s="129">
        <f t="shared" si="1"/>
        <v>1.0307971014492756</v>
      </c>
      <c r="AA47" s="119"/>
      <c r="AB47" s="119"/>
      <c r="AC47" s="114"/>
      <c r="AD47" s="114"/>
      <c r="AE47" s="114"/>
      <c r="AF47" s="119"/>
      <c r="AG47" s="114" t="s">
        <v>42</v>
      </c>
      <c r="AH47" s="114" t="s">
        <v>219</v>
      </c>
      <c r="AI47" s="114" t="s">
        <v>220</v>
      </c>
    </row>
    <row r="48" spans="1:35" ht="15.75" customHeight="1">
      <c r="A48" s="114" t="s">
        <v>60</v>
      </c>
      <c r="B48" s="114" t="s">
        <v>74</v>
      </c>
      <c r="C48" s="114" t="s">
        <v>221</v>
      </c>
      <c r="D48" s="111"/>
      <c r="E48" s="114"/>
      <c r="F48" s="233" t="s">
        <v>213</v>
      </c>
      <c r="G48" s="234">
        <v>46192</v>
      </c>
      <c r="H48" s="119"/>
      <c r="I48" s="119"/>
      <c r="J48" s="119"/>
      <c r="K48" s="119"/>
      <c r="L48" s="119"/>
      <c r="M48" s="119"/>
      <c r="N48" s="111" t="s">
        <v>217</v>
      </c>
      <c r="O48" s="114" t="s">
        <v>221</v>
      </c>
      <c r="P48" s="114">
        <v>7.58</v>
      </c>
      <c r="Q48" s="114">
        <v>7.2</v>
      </c>
      <c r="R48" s="114">
        <v>3.46</v>
      </c>
      <c r="S48" s="114">
        <v>3.45</v>
      </c>
      <c r="T48" s="114">
        <v>1930</v>
      </c>
      <c r="U48" s="114">
        <v>2000</v>
      </c>
      <c r="V48" s="114">
        <v>636</v>
      </c>
      <c r="W48" s="114">
        <v>640</v>
      </c>
      <c r="X48" s="114">
        <v>5.69</v>
      </c>
      <c r="Y48" s="114">
        <v>5.52</v>
      </c>
      <c r="Z48" s="129">
        <f t="shared" si="1"/>
        <v>1.0307971014492756</v>
      </c>
      <c r="AA48" s="119"/>
      <c r="AB48" s="119"/>
      <c r="AC48" s="114"/>
      <c r="AD48" s="114"/>
      <c r="AE48" s="114"/>
      <c r="AF48" s="119"/>
      <c r="AG48" s="114" t="s">
        <v>42</v>
      </c>
      <c r="AH48" s="114" t="s">
        <v>221</v>
      </c>
      <c r="AI48" s="114" t="s">
        <v>222</v>
      </c>
    </row>
    <row r="49" spans="1:40" ht="15.75" customHeight="1">
      <c r="A49" s="114" t="s">
        <v>60</v>
      </c>
      <c r="B49" s="114" t="s">
        <v>74</v>
      </c>
      <c r="C49" s="114" t="s">
        <v>223</v>
      </c>
      <c r="D49" s="114"/>
      <c r="E49" s="114"/>
      <c r="F49" s="233" t="s">
        <v>213</v>
      </c>
      <c r="G49" s="234">
        <v>46192</v>
      </c>
      <c r="H49" s="119"/>
      <c r="I49" s="119"/>
      <c r="J49" s="119"/>
      <c r="K49" s="119"/>
      <c r="L49" s="119"/>
      <c r="M49" s="119"/>
      <c r="N49" s="114" t="s">
        <v>224</v>
      </c>
      <c r="O49" s="114" t="s">
        <v>223</v>
      </c>
      <c r="P49" s="114">
        <v>8.7200000000000006</v>
      </c>
      <c r="Q49" s="114">
        <v>8.5</v>
      </c>
      <c r="R49" s="114">
        <v>4.1500000000000004</v>
      </c>
      <c r="S49" s="114">
        <v>4.25</v>
      </c>
      <c r="T49" s="114">
        <v>2698</v>
      </c>
      <c r="U49" s="114">
        <v>2730</v>
      </c>
      <c r="V49" s="114">
        <v>730</v>
      </c>
      <c r="W49" s="114">
        <v>765</v>
      </c>
      <c r="X49" s="114">
        <v>5.57</v>
      </c>
      <c r="Y49" s="114">
        <v>5.45</v>
      </c>
      <c r="Z49" s="129">
        <f t="shared" si="1"/>
        <v>1.0220183486238532</v>
      </c>
      <c r="AA49" s="119"/>
      <c r="AB49" s="119"/>
      <c r="AC49" s="114">
        <v>1100461</v>
      </c>
      <c r="AD49" s="116">
        <v>46623</v>
      </c>
      <c r="AE49" s="114" t="s">
        <v>223</v>
      </c>
      <c r="AF49" s="119"/>
      <c r="AG49" s="114">
        <v>1</v>
      </c>
      <c r="AH49" s="114" t="s">
        <v>223</v>
      </c>
      <c r="AI49" s="114" t="s">
        <v>225</v>
      </c>
    </row>
    <row r="50" spans="1:40" ht="15.75" customHeight="1">
      <c r="A50" s="114" t="s">
        <v>35</v>
      </c>
      <c r="B50" s="114" t="s">
        <v>74</v>
      </c>
      <c r="C50" s="114" t="s">
        <v>226</v>
      </c>
      <c r="D50" s="114"/>
      <c r="E50" s="114"/>
      <c r="F50" s="233" t="s">
        <v>227</v>
      </c>
      <c r="G50" s="234">
        <v>46416</v>
      </c>
      <c r="H50" s="119"/>
      <c r="I50" s="119"/>
      <c r="J50" s="119"/>
      <c r="K50" s="119"/>
      <c r="L50" s="119"/>
      <c r="M50" s="119"/>
      <c r="N50" s="111" t="s">
        <v>228</v>
      </c>
      <c r="O50" s="114" t="s">
        <v>226</v>
      </c>
      <c r="P50" s="114">
        <v>5.5209999999999999</v>
      </c>
      <c r="Q50" s="132">
        <v>5.6</v>
      </c>
      <c r="R50" s="114">
        <v>2.5489999999999999</v>
      </c>
      <c r="S50" s="132">
        <v>2.52</v>
      </c>
      <c r="T50" s="114">
        <v>1359</v>
      </c>
      <c r="U50" s="114">
        <v>1375</v>
      </c>
      <c r="V50" s="114">
        <v>759</v>
      </c>
      <c r="W50" s="114">
        <v>750</v>
      </c>
      <c r="X50" s="114">
        <v>6.66</v>
      </c>
      <c r="Y50" s="114">
        <v>6.66</v>
      </c>
      <c r="Z50" s="129">
        <f t="shared" si="1"/>
        <v>1</v>
      </c>
      <c r="AA50" s="119"/>
      <c r="AB50" s="119"/>
      <c r="AC50" s="114" t="s">
        <v>229</v>
      </c>
      <c r="AD50" s="116">
        <v>46366</v>
      </c>
      <c r="AE50" s="114" t="s">
        <v>226</v>
      </c>
      <c r="AF50" s="119"/>
      <c r="AG50" s="114" t="s">
        <v>42</v>
      </c>
      <c r="AH50" s="114" t="s">
        <v>226</v>
      </c>
      <c r="AI50" s="114" t="s">
        <v>230</v>
      </c>
      <c r="AN50" s="119" t="s">
        <v>231</v>
      </c>
    </row>
    <row r="51" spans="1:40" ht="15.75" customHeight="1">
      <c r="A51" s="114" t="s">
        <v>35</v>
      </c>
      <c r="B51" s="114" t="s">
        <v>74</v>
      </c>
      <c r="C51" s="114" t="s">
        <v>232</v>
      </c>
      <c r="D51" s="111"/>
      <c r="E51" s="114"/>
      <c r="F51" s="233" t="s">
        <v>227</v>
      </c>
      <c r="G51" s="234">
        <v>46416</v>
      </c>
      <c r="H51" s="119"/>
      <c r="I51" s="119"/>
      <c r="J51" s="119"/>
      <c r="K51" s="119"/>
      <c r="L51" s="119"/>
      <c r="M51" s="119"/>
      <c r="N51" s="111" t="s">
        <v>228</v>
      </c>
      <c r="O51" s="114" t="s">
        <v>232</v>
      </c>
      <c r="P51" s="114">
        <v>7.1520000000000001</v>
      </c>
      <c r="Q51" s="132">
        <v>7.2</v>
      </c>
      <c r="R51" s="114">
        <v>3.202</v>
      </c>
      <c r="S51" s="132">
        <v>3.24</v>
      </c>
      <c r="T51" s="114">
        <v>1774</v>
      </c>
      <c r="U51" s="114">
        <v>1810</v>
      </c>
      <c r="V51" s="114">
        <v>866</v>
      </c>
      <c r="W51" s="114">
        <v>860</v>
      </c>
      <c r="X51" s="114">
        <v>6.44</v>
      </c>
      <c r="Y51" s="136">
        <v>6.2</v>
      </c>
      <c r="Z51" s="129">
        <f t="shared" si="1"/>
        <v>1.0387096774193549</v>
      </c>
      <c r="AA51" s="119"/>
      <c r="AB51" s="119"/>
      <c r="AC51" s="114" t="s">
        <v>229</v>
      </c>
      <c r="AD51" s="116">
        <v>46366</v>
      </c>
      <c r="AE51" s="114" t="s">
        <v>232</v>
      </c>
      <c r="AF51" s="119"/>
      <c r="AG51" s="114" t="s">
        <v>42</v>
      </c>
      <c r="AH51" s="114" t="s">
        <v>232</v>
      </c>
      <c r="AI51" s="114" t="s">
        <v>233</v>
      </c>
    </row>
    <row r="52" spans="1:40">
      <c r="A52" s="114" t="s">
        <v>35</v>
      </c>
      <c r="B52" s="114" t="s">
        <v>74</v>
      </c>
      <c r="C52" s="114" t="s">
        <v>234</v>
      </c>
      <c r="D52" s="111"/>
      <c r="E52" s="114"/>
      <c r="F52" s="181" t="s">
        <v>235</v>
      </c>
      <c r="G52" s="182">
        <v>46410</v>
      </c>
      <c r="H52" s="119"/>
      <c r="I52" s="119"/>
      <c r="J52" s="119"/>
      <c r="K52" s="119"/>
      <c r="L52" s="119"/>
      <c r="M52" s="119"/>
      <c r="N52" s="111" t="s">
        <v>236</v>
      </c>
      <c r="O52" s="114" t="s">
        <v>234</v>
      </c>
      <c r="P52" s="96">
        <v>8.5440000000000005</v>
      </c>
      <c r="Q52" s="140">
        <v>8.5</v>
      </c>
      <c r="R52" s="96">
        <v>3.8180000000000001</v>
      </c>
      <c r="S52" s="96">
        <v>3.8250000000000002</v>
      </c>
      <c r="T52" s="96">
        <v>2070</v>
      </c>
      <c r="U52" s="96">
        <v>2100</v>
      </c>
      <c r="V52" s="96">
        <v>569</v>
      </c>
      <c r="W52" s="96">
        <v>616</v>
      </c>
      <c r="X52" s="141">
        <v>6.7</v>
      </c>
      <c r="Y52" s="141">
        <v>6.3</v>
      </c>
      <c r="Z52" s="129">
        <f t="shared" si="1"/>
        <v>1.0634920634920635</v>
      </c>
      <c r="AA52" s="119"/>
      <c r="AB52" s="119"/>
      <c r="AC52" s="114" t="s">
        <v>229</v>
      </c>
      <c r="AD52" s="116">
        <v>46366</v>
      </c>
      <c r="AE52" s="114" t="s">
        <v>234</v>
      </c>
      <c r="AF52" s="119"/>
      <c r="AG52" s="114" t="s">
        <v>42</v>
      </c>
      <c r="AH52" s="114" t="s">
        <v>234</v>
      </c>
      <c r="AI52" s="114" t="s">
        <v>237</v>
      </c>
      <c r="AN52" s="119" t="s">
        <v>238</v>
      </c>
    </row>
    <row r="53" spans="1:40" ht="16.95" customHeight="1">
      <c r="A53" s="114" t="s">
        <v>35</v>
      </c>
      <c r="B53" s="114" t="s">
        <v>74</v>
      </c>
      <c r="C53" s="114" t="s">
        <v>239</v>
      </c>
      <c r="D53" s="111"/>
      <c r="E53" s="114"/>
      <c r="F53" s="114" t="s">
        <v>240</v>
      </c>
      <c r="G53" s="116">
        <v>46416</v>
      </c>
      <c r="H53" s="119"/>
      <c r="I53" s="119"/>
      <c r="J53" s="119"/>
      <c r="K53" s="119"/>
      <c r="L53" s="119"/>
      <c r="M53" s="119"/>
      <c r="N53" s="111" t="s">
        <v>241</v>
      </c>
      <c r="O53" s="114" t="s">
        <v>239</v>
      </c>
      <c r="P53" s="96">
        <v>10.177</v>
      </c>
      <c r="Q53" s="140">
        <v>10.5</v>
      </c>
      <c r="R53" s="96">
        <v>4.7039999999999997</v>
      </c>
      <c r="S53" s="96">
        <v>4.7249999999999996</v>
      </c>
      <c r="T53" s="96">
        <v>2565</v>
      </c>
      <c r="U53" s="96">
        <v>2600</v>
      </c>
      <c r="V53" s="96">
        <v>732</v>
      </c>
      <c r="W53" s="96">
        <v>743</v>
      </c>
      <c r="X53" s="96">
        <v>6.43</v>
      </c>
      <c r="Y53" s="96">
        <v>6.41</v>
      </c>
      <c r="Z53" s="129">
        <f t="shared" si="1"/>
        <v>1.0031201248049921</v>
      </c>
      <c r="AA53" s="119"/>
      <c r="AB53" s="119"/>
      <c r="AC53" s="114" t="s">
        <v>229</v>
      </c>
      <c r="AD53" s="116">
        <v>46366</v>
      </c>
      <c r="AE53" s="114" t="s">
        <v>239</v>
      </c>
      <c r="AF53" s="119"/>
      <c r="AG53" s="114" t="s">
        <v>42</v>
      </c>
      <c r="AH53" s="114" t="s">
        <v>239</v>
      </c>
      <c r="AI53" s="114" t="s">
        <v>242</v>
      </c>
      <c r="AN53" s="119" t="s">
        <v>243</v>
      </c>
    </row>
    <row r="54" spans="1:40">
      <c r="A54" s="114" t="s">
        <v>60</v>
      </c>
      <c r="B54" s="114" t="s">
        <v>74</v>
      </c>
      <c r="C54" s="114" t="s">
        <v>244</v>
      </c>
      <c r="D54" s="111"/>
      <c r="E54" s="114"/>
      <c r="F54" s="114" t="s">
        <v>245</v>
      </c>
      <c r="G54" s="116">
        <v>46759</v>
      </c>
      <c r="H54" s="119"/>
      <c r="I54" s="119"/>
      <c r="J54" s="119"/>
      <c r="K54" s="119"/>
      <c r="L54" s="119"/>
      <c r="M54" s="119"/>
      <c r="N54" s="114" t="s">
        <v>246</v>
      </c>
      <c r="O54" s="114" t="s">
        <v>244</v>
      </c>
      <c r="P54" s="96">
        <v>4.7839999999999998</v>
      </c>
      <c r="Q54" s="137">
        <v>5</v>
      </c>
      <c r="R54" s="96">
        <v>2.1840000000000002</v>
      </c>
      <c r="S54" s="96">
        <v>2.25</v>
      </c>
      <c r="T54" s="96">
        <v>1532</v>
      </c>
      <c r="U54" s="96">
        <v>1520</v>
      </c>
      <c r="V54" s="114">
        <v>341</v>
      </c>
      <c r="W54" s="114">
        <v>375</v>
      </c>
      <c r="X54" s="141">
        <v>6</v>
      </c>
      <c r="Y54" s="141">
        <v>5.8</v>
      </c>
      <c r="Z54" s="129">
        <f t="shared" si="1"/>
        <v>1.0344827586206897</v>
      </c>
      <c r="AA54" s="119"/>
      <c r="AB54" s="119"/>
      <c r="AC54" s="114" t="s">
        <v>247</v>
      </c>
      <c r="AD54" s="116">
        <v>46583</v>
      </c>
      <c r="AE54" s="114" t="s">
        <v>244</v>
      </c>
      <c r="AF54" s="119"/>
      <c r="AG54" s="114">
        <v>1</v>
      </c>
      <c r="AH54" s="114" t="s">
        <v>244</v>
      </c>
      <c r="AI54" s="114" t="s">
        <v>248</v>
      </c>
      <c r="AN54" s="119" t="s">
        <v>249</v>
      </c>
    </row>
    <row r="55" spans="1:40">
      <c r="A55" s="114" t="s">
        <v>60</v>
      </c>
      <c r="B55" s="114" t="s">
        <v>74</v>
      </c>
      <c r="C55" s="114" t="s">
        <v>250</v>
      </c>
      <c r="D55" s="111"/>
      <c r="E55" s="114"/>
      <c r="F55" s="114" t="s">
        <v>251</v>
      </c>
      <c r="G55" s="116">
        <v>46759</v>
      </c>
      <c r="H55" s="119"/>
      <c r="I55" s="119"/>
      <c r="J55" s="119"/>
      <c r="K55" s="119"/>
      <c r="L55" s="119"/>
      <c r="M55" s="119"/>
      <c r="N55" s="114" t="s">
        <v>252</v>
      </c>
      <c r="O55" s="114" t="s">
        <v>250</v>
      </c>
      <c r="P55" s="114">
        <v>8.6259999999999994</v>
      </c>
      <c r="Q55" s="114">
        <v>8.5</v>
      </c>
      <c r="R55" s="114">
        <v>4.2320000000000002</v>
      </c>
      <c r="S55" s="114">
        <v>4.25</v>
      </c>
      <c r="T55" s="114">
        <v>2620</v>
      </c>
      <c r="U55" s="114">
        <v>2670</v>
      </c>
      <c r="V55" s="114">
        <v>720</v>
      </c>
      <c r="W55" s="114">
        <v>725</v>
      </c>
      <c r="X55" s="114">
        <v>5.75</v>
      </c>
      <c r="Y55" s="136">
        <v>5.7</v>
      </c>
      <c r="Z55" s="129">
        <f t="shared" si="1"/>
        <v>1.0087719298245614</v>
      </c>
      <c r="AA55" s="119"/>
      <c r="AB55" s="119"/>
      <c r="AC55" s="114" t="s">
        <v>247</v>
      </c>
      <c r="AD55" s="116">
        <v>46583</v>
      </c>
      <c r="AE55" s="114" t="s">
        <v>250</v>
      </c>
      <c r="AF55" s="119"/>
      <c r="AG55" s="114">
        <v>1</v>
      </c>
      <c r="AH55" s="114" t="s">
        <v>250</v>
      </c>
      <c r="AI55" s="114" t="s">
        <v>253</v>
      </c>
    </row>
    <row r="56" spans="1:40" ht="16.95" customHeight="1">
      <c r="A56" s="114" t="s">
        <v>60</v>
      </c>
      <c r="B56" s="114" t="s">
        <v>74</v>
      </c>
      <c r="C56" s="114" t="s">
        <v>254</v>
      </c>
      <c r="D56" s="111"/>
      <c r="E56" s="114"/>
      <c r="F56" s="114" t="s">
        <v>255</v>
      </c>
      <c r="G56" s="116">
        <v>46140</v>
      </c>
      <c r="H56" s="119"/>
      <c r="I56" s="119"/>
      <c r="J56" s="119"/>
      <c r="K56" s="119"/>
      <c r="L56" s="119"/>
      <c r="M56" s="119"/>
      <c r="N56" s="114" t="s">
        <v>256</v>
      </c>
      <c r="O56" s="114" t="s">
        <v>254</v>
      </c>
      <c r="P56" s="136">
        <v>4.91</v>
      </c>
      <c r="Q56" s="137">
        <v>5</v>
      </c>
      <c r="R56" s="114">
        <v>2.16</v>
      </c>
      <c r="S56" s="136">
        <v>2.25</v>
      </c>
      <c r="T56" s="114">
        <v>1514</v>
      </c>
      <c r="U56" s="114">
        <v>1610</v>
      </c>
      <c r="V56" s="114">
        <v>368</v>
      </c>
      <c r="W56" s="114">
        <v>390</v>
      </c>
      <c r="X56" s="114">
        <v>5.68</v>
      </c>
      <c r="Y56" s="96">
        <v>5.55</v>
      </c>
      <c r="Z56" s="129">
        <f t="shared" si="1"/>
        <v>1.0234234234234234</v>
      </c>
      <c r="AA56" s="119"/>
      <c r="AB56" s="119"/>
      <c r="AC56" s="114"/>
      <c r="AD56" s="114"/>
      <c r="AE56" s="114"/>
      <c r="AF56" s="119"/>
      <c r="AG56" s="114">
        <v>2</v>
      </c>
      <c r="AH56" s="114" t="s">
        <v>254</v>
      </c>
      <c r="AI56" s="114" t="s">
        <v>257</v>
      </c>
    </row>
    <row r="57" spans="1:40" ht="16.95" customHeight="1">
      <c r="A57" s="114" t="s">
        <v>60</v>
      </c>
      <c r="B57" s="114" t="s">
        <v>74</v>
      </c>
      <c r="C57" s="114" t="s">
        <v>258</v>
      </c>
      <c r="D57" s="111"/>
      <c r="E57" s="114"/>
      <c r="F57" s="233" t="s">
        <v>259</v>
      </c>
      <c r="G57" s="234">
        <v>46163</v>
      </c>
      <c r="H57" s="119"/>
      <c r="I57" s="119"/>
      <c r="J57" s="119"/>
      <c r="K57" s="119"/>
      <c r="L57" s="119"/>
      <c r="M57" s="119"/>
      <c r="N57" s="111" t="s">
        <v>260</v>
      </c>
      <c r="O57" s="114" t="s">
        <v>258</v>
      </c>
      <c r="P57" s="136">
        <v>10.89</v>
      </c>
      <c r="Q57" s="137">
        <v>10.5</v>
      </c>
      <c r="R57" s="136">
        <v>5.3</v>
      </c>
      <c r="S57" s="136">
        <v>5.3</v>
      </c>
      <c r="T57" s="114">
        <v>2888</v>
      </c>
      <c r="U57" s="114">
        <v>2910</v>
      </c>
      <c r="V57" s="114">
        <v>989</v>
      </c>
      <c r="W57" s="114">
        <v>990</v>
      </c>
      <c r="X57" s="114">
        <v>5.57</v>
      </c>
      <c r="Y57" s="96">
        <v>5.51</v>
      </c>
      <c r="Z57" s="129">
        <f t="shared" si="1"/>
        <v>1.0108892921960073</v>
      </c>
      <c r="AA57" s="119"/>
      <c r="AB57" s="119"/>
      <c r="AC57" s="114"/>
      <c r="AD57" s="114"/>
      <c r="AE57" s="114"/>
      <c r="AF57" s="119"/>
      <c r="AG57" s="114" t="s">
        <v>42</v>
      </c>
      <c r="AH57" s="114" t="s">
        <v>258</v>
      </c>
      <c r="AI57" s="114" t="s">
        <v>261</v>
      </c>
    </row>
    <row r="58" spans="1:40" ht="15.6" customHeight="1">
      <c r="A58" s="114" t="s">
        <v>60</v>
      </c>
      <c r="B58" s="114" t="s">
        <v>74</v>
      </c>
      <c r="C58" s="114" t="s">
        <v>262</v>
      </c>
      <c r="D58" s="111"/>
      <c r="E58" s="114"/>
      <c r="F58" s="233" t="s">
        <v>259</v>
      </c>
      <c r="G58" s="234">
        <v>46163</v>
      </c>
      <c r="H58" s="119"/>
      <c r="I58" s="119"/>
      <c r="J58" s="119"/>
      <c r="K58" s="119"/>
      <c r="L58" s="119"/>
      <c r="M58" s="119"/>
      <c r="N58" s="111" t="s">
        <v>263</v>
      </c>
      <c r="O58" s="114" t="s">
        <v>262</v>
      </c>
      <c r="P58" s="136">
        <v>10.89</v>
      </c>
      <c r="Q58" s="137">
        <v>10.5</v>
      </c>
      <c r="R58" s="136">
        <v>5.3</v>
      </c>
      <c r="S58" s="136">
        <v>5.3</v>
      </c>
      <c r="T58" s="114">
        <v>2888</v>
      </c>
      <c r="U58" s="114">
        <v>2910</v>
      </c>
      <c r="V58" s="114">
        <v>989</v>
      </c>
      <c r="W58" s="114">
        <v>990</v>
      </c>
      <c r="X58" s="114">
        <v>5.57</v>
      </c>
      <c r="Y58" s="96">
        <v>5.51</v>
      </c>
      <c r="Z58" s="129">
        <f t="shared" si="1"/>
        <v>1.0108892921960073</v>
      </c>
      <c r="AA58" s="119"/>
      <c r="AB58" s="119"/>
      <c r="AC58" s="114"/>
      <c r="AD58" s="114"/>
      <c r="AE58" s="114"/>
      <c r="AF58" s="119"/>
      <c r="AG58" s="114">
        <v>1</v>
      </c>
      <c r="AH58" s="114" t="s">
        <v>262</v>
      </c>
      <c r="AI58" s="114" t="s">
        <v>264</v>
      </c>
    </row>
    <row r="59" spans="1:40">
      <c r="A59" s="114" t="s">
        <v>60</v>
      </c>
      <c r="B59" s="114" t="s">
        <v>78</v>
      </c>
      <c r="C59" s="114" t="s">
        <v>265</v>
      </c>
      <c r="D59" s="114" t="s">
        <v>266</v>
      </c>
      <c r="E59" s="114"/>
      <c r="F59" s="114" t="s">
        <v>267</v>
      </c>
      <c r="G59" s="116">
        <v>46227</v>
      </c>
      <c r="H59" s="119"/>
      <c r="I59" s="119"/>
      <c r="J59" s="119"/>
      <c r="K59" s="119"/>
      <c r="L59" s="119"/>
      <c r="M59" s="119"/>
      <c r="N59" s="114" t="s">
        <v>268</v>
      </c>
      <c r="O59" s="114" t="s">
        <v>265</v>
      </c>
      <c r="P59" s="136">
        <v>10.53</v>
      </c>
      <c r="Q59" s="137">
        <v>10.4</v>
      </c>
      <c r="R59" s="114">
        <v>4.9800000000000004</v>
      </c>
      <c r="S59" s="136">
        <v>5.2</v>
      </c>
      <c r="T59" s="114">
        <v>2733</v>
      </c>
      <c r="U59" s="114">
        <v>2860</v>
      </c>
      <c r="V59" s="114">
        <v>870</v>
      </c>
      <c r="W59" s="114">
        <v>950</v>
      </c>
      <c r="X59" s="114">
        <v>5.87</v>
      </c>
      <c r="Y59" s="96">
        <v>5.61</v>
      </c>
      <c r="Z59" s="129">
        <f t="shared" si="1"/>
        <v>1.0463458110516934</v>
      </c>
      <c r="AA59" s="119"/>
      <c r="AB59" s="119"/>
      <c r="AC59" s="114" t="s">
        <v>269</v>
      </c>
      <c r="AD59" s="116">
        <v>46365</v>
      </c>
      <c r="AE59" s="114" t="s">
        <v>265</v>
      </c>
      <c r="AF59" s="119"/>
      <c r="AG59" s="114" t="s">
        <v>42</v>
      </c>
      <c r="AH59" s="114" t="s">
        <v>265</v>
      </c>
      <c r="AI59" s="114" t="s">
        <v>270</v>
      </c>
    </row>
    <row r="60" spans="1:40" ht="15.75" customHeight="1">
      <c r="A60" s="114" t="s">
        <v>60</v>
      </c>
      <c r="B60" s="114" t="s">
        <v>78</v>
      </c>
      <c r="C60" s="114" t="s">
        <v>271</v>
      </c>
      <c r="D60" s="114" t="s">
        <v>272</v>
      </c>
      <c r="E60" s="114"/>
      <c r="F60" s="114" t="s">
        <v>273</v>
      </c>
      <c r="G60" s="116">
        <v>47323</v>
      </c>
      <c r="H60" s="119"/>
      <c r="I60" s="119"/>
      <c r="J60" s="119"/>
      <c r="K60" s="119"/>
      <c r="L60" s="119"/>
      <c r="M60" s="119"/>
      <c r="N60" s="114" t="s">
        <v>274</v>
      </c>
      <c r="O60" s="114" t="s">
        <v>271</v>
      </c>
      <c r="P60" s="114">
        <v>7.12</v>
      </c>
      <c r="Q60" s="137">
        <v>7.2</v>
      </c>
      <c r="R60" s="114">
        <v>3.46</v>
      </c>
      <c r="S60" s="136">
        <v>3.6</v>
      </c>
      <c r="T60" s="114">
        <v>1880</v>
      </c>
      <c r="U60" s="114">
        <v>1880</v>
      </c>
      <c r="V60" s="114">
        <v>571</v>
      </c>
      <c r="W60" s="114">
        <v>610</v>
      </c>
      <c r="X60" s="136">
        <v>6.1</v>
      </c>
      <c r="Y60" s="114">
        <v>6.01</v>
      </c>
      <c r="Z60" s="129">
        <f t="shared" si="1"/>
        <v>1.0149750415973378</v>
      </c>
      <c r="AA60" s="119"/>
      <c r="AB60" s="119"/>
      <c r="AC60" s="114" t="s">
        <v>275</v>
      </c>
      <c r="AD60" s="116">
        <v>46365</v>
      </c>
      <c r="AE60" s="114" t="s">
        <v>271</v>
      </c>
      <c r="AF60" s="119"/>
      <c r="AG60" s="114" t="s">
        <v>42</v>
      </c>
      <c r="AH60" s="114" t="s">
        <v>271</v>
      </c>
      <c r="AI60" s="114" t="s">
        <v>276</v>
      </c>
    </row>
    <row r="61" spans="1:40" ht="16.95" customHeight="1">
      <c r="A61" s="114" t="s">
        <v>60</v>
      </c>
      <c r="B61" s="114" t="s">
        <v>78</v>
      </c>
      <c r="C61" s="114" t="s">
        <v>277</v>
      </c>
      <c r="D61" s="114" t="s">
        <v>278</v>
      </c>
      <c r="E61" s="114"/>
      <c r="F61" s="233" t="s">
        <v>279</v>
      </c>
      <c r="G61" s="234">
        <v>46195</v>
      </c>
      <c r="H61" s="119"/>
      <c r="I61" s="119"/>
      <c r="J61" s="119"/>
      <c r="K61" s="119"/>
      <c r="L61" s="119"/>
      <c r="M61" s="119"/>
      <c r="N61" s="114" t="s">
        <v>280</v>
      </c>
      <c r="O61" s="114" t="s">
        <v>277</v>
      </c>
      <c r="P61" s="114">
        <v>10.62</v>
      </c>
      <c r="Q61" s="137">
        <v>10.4</v>
      </c>
      <c r="R61" s="114">
        <v>5.12</v>
      </c>
      <c r="S61" s="114">
        <v>5.2</v>
      </c>
      <c r="T61" s="114">
        <v>2607</v>
      </c>
      <c r="U61" s="114">
        <v>2860</v>
      </c>
      <c r="V61" s="114">
        <v>895</v>
      </c>
      <c r="W61" s="114">
        <v>950</v>
      </c>
      <c r="X61" s="114">
        <v>5.96</v>
      </c>
      <c r="Y61" s="114">
        <v>5.61</v>
      </c>
      <c r="Z61" s="129">
        <f t="shared" si="1"/>
        <v>1.0623885918003564</v>
      </c>
      <c r="AA61" s="119"/>
      <c r="AB61" s="119"/>
      <c r="AC61" s="114" t="s">
        <v>281</v>
      </c>
      <c r="AD61" s="116">
        <v>46365</v>
      </c>
      <c r="AE61" s="114" t="s">
        <v>277</v>
      </c>
      <c r="AF61" s="119"/>
      <c r="AG61" s="114" t="s">
        <v>42</v>
      </c>
      <c r="AH61" s="114" t="s">
        <v>277</v>
      </c>
      <c r="AI61" s="114" t="s">
        <v>282</v>
      </c>
    </row>
    <row r="62" spans="1:40" ht="15.6" customHeight="1">
      <c r="A62" s="114" t="s">
        <v>60</v>
      </c>
      <c r="B62" s="114" t="s">
        <v>78</v>
      </c>
      <c r="C62" s="114" t="s">
        <v>283</v>
      </c>
      <c r="D62" s="114" t="s">
        <v>284</v>
      </c>
      <c r="E62" s="114"/>
      <c r="F62" s="233" t="s">
        <v>279</v>
      </c>
      <c r="G62" s="234">
        <v>46195</v>
      </c>
      <c r="H62" s="119"/>
      <c r="I62" s="119"/>
      <c r="J62" s="119"/>
      <c r="K62" s="119"/>
      <c r="L62" s="119"/>
      <c r="M62" s="119"/>
      <c r="N62" s="114" t="s">
        <v>280</v>
      </c>
      <c r="O62" s="114" t="s">
        <v>283</v>
      </c>
      <c r="P62" s="114">
        <v>12.71</v>
      </c>
      <c r="Q62" s="114">
        <v>12.5</v>
      </c>
      <c r="R62" s="114">
        <v>6.25</v>
      </c>
      <c r="S62" s="114">
        <v>6.25</v>
      </c>
      <c r="T62" s="114">
        <v>3550</v>
      </c>
      <c r="U62" s="114">
        <v>3750</v>
      </c>
      <c r="V62" s="114">
        <v>1171</v>
      </c>
      <c r="W62" s="114">
        <v>1190</v>
      </c>
      <c r="X62" s="114">
        <v>5.48</v>
      </c>
      <c r="Y62" s="114">
        <v>5.32</v>
      </c>
      <c r="Z62" s="129">
        <f t="shared" si="1"/>
        <v>1.0300751879699248</v>
      </c>
      <c r="AA62" s="119"/>
      <c r="AB62" s="119"/>
      <c r="AC62" s="114" t="s">
        <v>281</v>
      </c>
      <c r="AD62" s="116">
        <v>46365</v>
      </c>
      <c r="AE62" s="114" t="s">
        <v>283</v>
      </c>
      <c r="AF62" s="119"/>
      <c r="AG62" s="114" t="s">
        <v>42</v>
      </c>
      <c r="AH62" s="114" t="s">
        <v>283</v>
      </c>
      <c r="AI62" s="114" t="s">
        <v>285</v>
      </c>
    </row>
    <row r="63" spans="1:40" ht="15.6" customHeight="1">
      <c r="A63" s="114" t="s">
        <v>60</v>
      </c>
      <c r="B63" s="114" t="s">
        <v>78</v>
      </c>
      <c r="C63" s="114" t="s">
        <v>286</v>
      </c>
      <c r="D63" s="114" t="s">
        <v>287</v>
      </c>
      <c r="E63" s="114"/>
      <c r="F63" s="233" t="s">
        <v>279</v>
      </c>
      <c r="G63" s="234">
        <v>46195</v>
      </c>
      <c r="H63" s="119"/>
      <c r="I63" s="119"/>
      <c r="J63" s="119"/>
      <c r="K63" s="119"/>
      <c r="L63" s="119"/>
      <c r="M63" s="119"/>
      <c r="N63" s="114" t="s">
        <v>280</v>
      </c>
      <c r="O63" s="114" t="s">
        <v>286</v>
      </c>
      <c r="P63" s="114">
        <v>14.32</v>
      </c>
      <c r="Q63" s="137">
        <v>14</v>
      </c>
      <c r="R63" s="114">
        <v>6.88</v>
      </c>
      <c r="S63" s="136">
        <v>7</v>
      </c>
      <c r="T63" s="114">
        <v>4643</v>
      </c>
      <c r="U63" s="114">
        <v>4700</v>
      </c>
      <c r="V63" s="114">
        <v>1350</v>
      </c>
      <c r="W63" s="114">
        <v>1340</v>
      </c>
      <c r="X63" s="114">
        <v>5.08</v>
      </c>
      <c r="Y63" s="114">
        <v>5.15</v>
      </c>
      <c r="Z63" s="129">
        <f t="shared" si="1"/>
        <v>0.9864077669902912</v>
      </c>
      <c r="AA63" s="119"/>
      <c r="AB63" s="119"/>
      <c r="AC63" s="114"/>
      <c r="AD63" s="114"/>
      <c r="AE63" s="114"/>
      <c r="AF63" s="119"/>
      <c r="AG63" s="114" t="s">
        <v>288</v>
      </c>
      <c r="AH63" s="114" t="s">
        <v>286</v>
      </c>
      <c r="AI63" s="114" t="s">
        <v>289</v>
      </c>
    </row>
    <row r="64" spans="1:40" ht="15.75" customHeight="1">
      <c r="A64" s="114" t="s">
        <v>60</v>
      </c>
      <c r="B64" s="114" t="s">
        <v>78</v>
      </c>
      <c r="C64" s="114" t="s">
        <v>290</v>
      </c>
      <c r="D64" s="114" t="s">
        <v>291</v>
      </c>
      <c r="E64" s="114"/>
      <c r="F64" s="114" t="s">
        <v>292</v>
      </c>
      <c r="G64" s="116">
        <v>46704</v>
      </c>
      <c r="H64" s="119"/>
      <c r="I64" s="119"/>
      <c r="J64" s="119"/>
      <c r="K64" s="119"/>
      <c r="L64" s="119"/>
      <c r="M64" s="119"/>
      <c r="N64" s="114" t="s">
        <v>293</v>
      </c>
      <c r="O64" s="114" t="s">
        <v>290</v>
      </c>
      <c r="P64" s="114">
        <v>6.9450000000000003</v>
      </c>
      <c r="Q64" s="114">
        <v>7.2</v>
      </c>
      <c r="R64" s="114">
        <v>3.7850000000000001</v>
      </c>
      <c r="S64" s="114">
        <v>3.61</v>
      </c>
      <c r="T64" s="114">
        <v>2013</v>
      </c>
      <c r="U64" s="114">
        <v>1880</v>
      </c>
      <c r="V64" s="114">
        <v>615</v>
      </c>
      <c r="W64" s="114">
        <v>610</v>
      </c>
      <c r="X64" s="136">
        <v>6.1</v>
      </c>
      <c r="Y64" s="114">
        <v>6.02</v>
      </c>
      <c r="Z64" s="129">
        <f t="shared" si="1"/>
        <v>1.0132890365448506</v>
      </c>
      <c r="AA64" s="119"/>
      <c r="AB64" s="119"/>
      <c r="AC64" s="114" t="s">
        <v>294</v>
      </c>
      <c r="AD64" s="116">
        <v>46519</v>
      </c>
      <c r="AE64" s="114" t="s">
        <v>290</v>
      </c>
      <c r="AF64" s="119"/>
      <c r="AG64" s="114" t="s">
        <v>42</v>
      </c>
      <c r="AH64" s="114" t="s">
        <v>290</v>
      </c>
      <c r="AI64" s="114" t="s">
        <v>295</v>
      </c>
    </row>
    <row r="65" spans="1:35" ht="15.75" customHeight="1">
      <c r="A65" s="114" t="s">
        <v>60</v>
      </c>
      <c r="B65" s="114" t="s">
        <v>78</v>
      </c>
      <c r="C65" s="114" t="s">
        <v>296</v>
      </c>
      <c r="D65" s="114" t="s">
        <v>291</v>
      </c>
      <c r="E65" s="114"/>
      <c r="F65" s="114" t="s">
        <v>297</v>
      </c>
      <c r="G65" s="116">
        <v>46704</v>
      </c>
      <c r="H65" s="119"/>
      <c r="I65" s="119"/>
      <c r="J65" s="119"/>
      <c r="K65" s="119"/>
      <c r="L65" s="119"/>
      <c r="M65" s="119"/>
      <c r="N65" s="114" t="s">
        <v>274</v>
      </c>
      <c r="O65" s="114" t="s">
        <v>296</v>
      </c>
      <c r="P65" s="114">
        <v>7.12</v>
      </c>
      <c r="Q65" s="114">
        <v>7.2</v>
      </c>
      <c r="R65" s="114">
        <v>3.46</v>
      </c>
      <c r="S65" s="114">
        <v>3.6</v>
      </c>
      <c r="T65" s="114">
        <v>1880</v>
      </c>
      <c r="U65" s="114">
        <v>1880</v>
      </c>
      <c r="V65" s="114">
        <v>571</v>
      </c>
      <c r="W65" s="114">
        <v>610</v>
      </c>
      <c r="X65" s="136">
        <v>6.1</v>
      </c>
      <c r="Y65" s="114">
        <v>6.01</v>
      </c>
      <c r="Z65" s="129">
        <f t="shared" si="1"/>
        <v>1.0149750415973378</v>
      </c>
      <c r="AA65" s="119"/>
      <c r="AB65" s="119"/>
      <c r="AC65" s="114" t="s">
        <v>294</v>
      </c>
      <c r="AD65" s="116">
        <v>46519</v>
      </c>
      <c r="AE65" s="114" t="s">
        <v>296</v>
      </c>
      <c r="AF65" s="119"/>
      <c r="AG65" s="114">
        <v>1</v>
      </c>
      <c r="AH65" s="114" t="s">
        <v>296</v>
      </c>
      <c r="AI65" s="114" t="s">
        <v>298</v>
      </c>
    </row>
    <row r="66" spans="1:35">
      <c r="A66" s="114" t="s">
        <v>60</v>
      </c>
      <c r="B66" s="114" t="s">
        <v>78</v>
      </c>
      <c r="C66" s="114" t="s">
        <v>299</v>
      </c>
      <c r="D66" s="114" t="s">
        <v>284</v>
      </c>
      <c r="E66" s="114"/>
      <c r="F66" s="233" t="s">
        <v>300</v>
      </c>
      <c r="G66" s="234">
        <v>47316</v>
      </c>
      <c r="H66" s="119"/>
      <c r="I66" s="119"/>
      <c r="J66" s="119"/>
      <c r="K66" s="119"/>
      <c r="L66" s="119"/>
      <c r="M66" s="119"/>
      <c r="N66" s="114" t="s">
        <v>301</v>
      </c>
      <c r="O66" s="114" t="s">
        <v>299</v>
      </c>
      <c r="P66" s="114">
        <v>12.46</v>
      </c>
      <c r="Q66" s="114">
        <v>12.5</v>
      </c>
      <c r="R66" s="114">
        <v>6.18</v>
      </c>
      <c r="S66" s="114">
        <v>6.25</v>
      </c>
      <c r="T66" s="114">
        <v>3724</v>
      </c>
      <c r="U66" s="114">
        <v>3750</v>
      </c>
      <c r="V66" s="114">
        <v>1189</v>
      </c>
      <c r="W66" s="114">
        <v>1190</v>
      </c>
      <c r="X66" s="114">
        <v>5.28</v>
      </c>
      <c r="Y66" s="114">
        <v>5.32</v>
      </c>
      <c r="Z66" s="129">
        <f t="shared" si="1"/>
        <v>0.99248120300751874</v>
      </c>
      <c r="AA66" s="119"/>
      <c r="AB66" s="119"/>
      <c r="AC66" s="114" t="s">
        <v>275</v>
      </c>
      <c r="AD66" s="116">
        <v>46365</v>
      </c>
      <c r="AE66" s="114" t="s">
        <v>299</v>
      </c>
      <c r="AF66" s="119"/>
      <c r="AG66" s="114" t="s">
        <v>42</v>
      </c>
      <c r="AH66" s="114" t="s">
        <v>299</v>
      </c>
      <c r="AI66" s="114" t="s">
        <v>302</v>
      </c>
    </row>
    <row r="67" spans="1:35" ht="15.6" customHeight="1">
      <c r="A67" s="114" t="s">
        <v>60</v>
      </c>
      <c r="B67" s="114" t="s">
        <v>78</v>
      </c>
      <c r="C67" s="114" t="s">
        <v>303</v>
      </c>
      <c r="D67" s="114" t="s">
        <v>304</v>
      </c>
      <c r="E67" s="114"/>
      <c r="F67" s="233" t="s">
        <v>300</v>
      </c>
      <c r="G67" s="234">
        <v>47316</v>
      </c>
      <c r="H67" s="119"/>
      <c r="I67" s="119"/>
      <c r="J67" s="119"/>
      <c r="K67" s="119"/>
      <c r="L67" s="119"/>
      <c r="M67" s="119"/>
      <c r="N67" s="114" t="s">
        <v>301</v>
      </c>
      <c r="O67" s="114" t="s">
        <v>303</v>
      </c>
      <c r="P67" s="114">
        <v>13.65</v>
      </c>
      <c r="Q67" s="137">
        <v>14</v>
      </c>
      <c r="R67" s="114">
        <v>6.68</v>
      </c>
      <c r="S67" s="136">
        <v>7</v>
      </c>
      <c r="T67" s="114">
        <v>4703</v>
      </c>
      <c r="U67" s="114">
        <v>4700</v>
      </c>
      <c r="V67" s="114">
        <v>1317</v>
      </c>
      <c r="W67" s="114">
        <v>1340</v>
      </c>
      <c r="X67" s="114">
        <v>4.99</v>
      </c>
      <c r="Y67" s="114">
        <v>5.15</v>
      </c>
      <c r="Z67" s="129">
        <f t="shared" ref="Z67:Z98" si="2">X67/Y67</f>
        <v>0.96893203883495138</v>
      </c>
      <c r="AA67" s="119"/>
      <c r="AB67" s="119"/>
      <c r="AC67" s="114"/>
      <c r="AD67" s="114"/>
      <c r="AE67" s="114"/>
      <c r="AF67" s="119"/>
      <c r="AG67" s="114" t="s">
        <v>288</v>
      </c>
      <c r="AH67" s="114" t="s">
        <v>303</v>
      </c>
      <c r="AI67" s="114" t="s">
        <v>305</v>
      </c>
    </row>
    <row r="68" spans="1:35">
      <c r="A68" s="114" t="s">
        <v>60</v>
      </c>
      <c r="B68" s="114" t="s">
        <v>78</v>
      </c>
      <c r="C68" s="114" t="s">
        <v>306</v>
      </c>
      <c r="D68" s="114" t="s">
        <v>266</v>
      </c>
      <c r="E68" s="114"/>
      <c r="F68" s="181" t="s">
        <v>307</v>
      </c>
      <c r="G68" s="182">
        <v>47316</v>
      </c>
      <c r="H68" s="119"/>
      <c r="I68" s="119"/>
      <c r="J68" s="119"/>
      <c r="K68" s="119"/>
      <c r="L68" s="119"/>
      <c r="M68" s="119"/>
      <c r="N68" s="114" t="s">
        <v>308</v>
      </c>
      <c r="O68" s="114" t="s">
        <v>306</v>
      </c>
      <c r="P68" s="114">
        <v>11.3</v>
      </c>
      <c r="Q68" s="114">
        <v>10.4</v>
      </c>
      <c r="R68" s="114">
        <v>5.43</v>
      </c>
      <c r="S68" s="114">
        <v>5.2</v>
      </c>
      <c r="T68" s="114">
        <v>2601</v>
      </c>
      <c r="U68" s="114">
        <v>2860</v>
      </c>
      <c r="V68" s="114">
        <v>839</v>
      </c>
      <c r="W68" s="114">
        <v>950</v>
      </c>
      <c r="X68" s="114">
        <v>6.61</v>
      </c>
      <c r="Y68" s="114">
        <v>5.61</v>
      </c>
      <c r="Z68" s="129">
        <f t="shared" si="2"/>
        <v>1.17825311942959</v>
      </c>
      <c r="AA68" s="119"/>
      <c r="AB68" s="119"/>
      <c r="AC68" s="114" t="s">
        <v>275</v>
      </c>
      <c r="AD68" s="116">
        <v>46365</v>
      </c>
      <c r="AE68" s="114" t="s">
        <v>306</v>
      </c>
      <c r="AF68" s="119"/>
      <c r="AG68" s="114" t="s">
        <v>42</v>
      </c>
      <c r="AH68" s="114" t="s">
        <v>306</v>
      </c>
      <c r="AI68" s="114" t="s">
        <v>309</v>
      </c>
    </row>
    <row r="69" spans="1:35" ht="15.75" customHeight="1">
      <c r="A69" s="114" t="s">
        <v>60</v>
      </c>
      <c r="B69" s="114" t="s">
        <v>78</v>
      </c>
      <c r="C69" s="114" t="s">
        <v>310</v>
      </c>
      <c r="D69" s="114" t="s">
        <v>311</v>
      </c>
      <c r="E69" s="114"/>
      <c r="F69" s="233" t="s">
        <v>312</v>
      </c>
      <c r="G69" s="234">
        <v>47323</v>
      </c>
      <c r="H69" s="119"/>
      <c r="I69" s="119"/>
      <c r="J69" s="119"/>
      <c r="K69" s="119"/>
      <c r="L69" s="119"/>
      <c r="M69" s="119"/>
      <c r="N69" s="114" t="s">
        <v>313</v>
      </c>
      <c r="O69" s="114" t="s">
        <v>310</v>
      </c>
      <c r="P69" s="136">
        <v>12.6</v>
      </c>
      <c r="Q69" s="114">
        <v>12.5</v>
      </c>
      <c r="R69" s="114">
        <v>6.25</v>
      </c>
      <c r="S69" s="114">
        <v>6.25</v>
      </c>
      <c r="T69" s="114">
        <v>3589</v>
      </c>
      <c r="U69" s="114">
        <v>3750</v>
      </c>
      <c r="V69" s="114">
        <v>1164</v>
      </c>
      <c r="W69" s="114">
        <v>1190</v>
      </c>
      <c r="X69" s="114">
        <v>5.48</v>
      </c>
      <c r="Y69" s="114">
        <v>5.32</v>
      </c>
      <c r="Z69" s="129">
        <f t="shared" si="2"/>
        <v>1.0300751879699248</v>
      </c>
      <c r="AA69" s="119"/>
      <c r="AB69" s="119"/>
      <c r="AC69" s="114" t="s">
        <v>269</v>
      </c>
      <c r="AD69" s="116">
        <v>46365</v>
      </c>
      <c r="AE69" s="114" t="s">
        <v>310</v>
      </c>
      <c r="AF69" s="119"/>
      <c r="AG69" s="114" t="s">
        <v>42</v>
      </c>
      <c r="AH69" s="114" t="s">
        <v>310</v>
      </c>
      <c r="AI69" s="114" t="s">
        <v>314</v>
      </c>
    </row>
    <row r="70" spans="1:35" ht="15.6" customHeight="1">
      <c r="A70" s="114" t="s">
        <v>60</v>
      </c>
      <c r="B70" s="114" t="s">
        <v>78</v>
      </c>
      <c r="C70" s="114" t="s">
        <v>315</v>
      </c>
      <c r="D70" s="114" t="s">
        <v>304</v>
      </c>
      <c r="E70" s="114"/>
      <c r="F70" s="233" t="s">
        <v>312</v>
      </c>
      <c r="G70" s="234">
        <v>47323</v>
      </c>
      <c r="H70" s="119"/>
      <c r="I70" s="119"/>
      <c r="J70" s="119"/>
      <c r="K70" s="119"/>
      <c r="L70" s="119"/>
      <c r="M70" s="119"/>
      <c r="N70" s="114" t="s">
        <v>313</v>
      </c>
      <c r="O70" s="114" t="s">
        <v>315</v>
      </c>
      <c r="P70" s="136">
        <v>13.95</v>
      </c>
      <c r="Q70" s="137">
        <v>14</v>
      </c>
      <c r="R70" s="114">
        <v>6.96</v>
      </c>
      <c r="S70" s="136">
        <v>7</v>
      </c>
      <c r="T70" s="114">
        <v>4552</v>
      </c>
      <c r="U70" s="114">
        <v>4700</v>
      </c>
      <c r="V70" s="114">
        <v>1348</v>
      </c>
      <c r="W70" s="114">
        <v>1340</v>
      </c>
      <c r="X70" s="114">
        <v>5.14</v>
      </c>
      <c r="Y70" s="114">
        <v>5.15</v>
      </c>
      <c r="Z70" s="129">
        <f t="shared" si="2"/>
        <v>0.99805825242718438</v>
      </c>
      <c r="AA70" s="119"/>
      <c r="AB70" s="119"/>
      <c r="AC70" s="114"/>
      <c r="AD70" s="114"/>
      <c r="AE70" s="114"/>
      <c r="AF70" s="119"/>
      <c r="AG70" s="114" t="s">
        <v>288</v>
      </c>
      <c r="AH70" s="114" t="s">
        <v>315</v>
      </c>
      <c r="AI70" s="114" t="s">
        <v>316</v>
      </c>
    </row>
    <row r="71" spans="1:35">
      <c r="A71" s="114" t="s">
        <v>173</v>
      </c>
      <c r="B71" s="114" t="s">
        <v>78</v>
      </c>
      <c r="C71" s="114" t="s">
        <v>317</v>
      </c>
      <c r="D71" s="114" t="s">
        <v>318</v>
      </c>
      <c r="E71" s="114"/>
      <c r="F71" s="114" t="s">
        <v>319</v>
      </c>
      <c r="G71" s="116">
        <v>46439</v>
      </c>
      <c r="H71" s="119"/>
      <c r="I71" s="119"/>
      <c r="J71" s="119"/>
      <c r="K71" s="119"/>
      <c r="L71" s="119"/>
      <c r="M71" s="119"/>
      <c r="N71" s="114" t="s">
        <v>320</v>
      </c>
      <c r="O71" s="114" t="s">
        <v>317</v>
      </c>
      <c r="P71" s="114">
        <v>14.823600000000001</v>
      </c>
      <c r="Q71" s="132">
        <v>14</v>
      </c>
      <c r="R71" s="114">
        <v>6.3487</v>
      </c>
      <c r="S71" s="132">
        <v>6.39</v>
      </c>
      <c r="T71" s="137">
        <v>3873</v>
      </c>
      <c r="U71" s="114">
        <v>4700</v>
      </c>
      <c r="V71" s="114">
        <v>1075.3</v>
      </c>
      <c r="W71" s="114">
        <v>1010</v>
      </c>
      <c r="X71" s="114">
        <v>5.98</v>
      </c>
      <c r="Y71" s="114">
        <v>5.87</v>
      </c>
      <c r="Z71" s="129">
        <f t="shared" si="2"/>
        <v>1.0187393526405453</v>
      </c>
      <c r="AA71" s="119"/>
      <c r="AB71" s="119"/>
      <c r="AC71" s="114" t="s">
        <v>321</v>
      </c>
      <c r="AD71" s="116">
        <v>46366</v>
      </c>
      <c r="AE71" s="114" t="s">
        <v>317</v>
      </c>
      <c r="AF71" s="119"/>
      <c r="AG71" s="114" t="s">
        <v>42</v>
      </c>
      <c r="AH71" s="114" t="s">
        <v>317</v>
      </c>
      <c r="AI71" s="114" t="s">
        <v>322</v>
      </c>
    </row>
    <row r="72" spans="1:35" ht="15.75" customHeight="1">
      <c r="A72" s="114" t="s">
        <v>173</v>
      </c>
      <c r="B72" s="114" t="s">
        <v>78</v>
      </c>
      <c r="C72" s="114" t="s">
        <v>323</v>
      </c>
      <c r="D72" s="114" t="s">
        <v>278</v>
      </c>
      <c r="E72" s="114"/>
      <c r="F72" s="233" t="s">
        <v>324</v>
      </c>
      <c r="G72" s="234">
        <v>46440</v>
      </c>
      <c r="H72" s="119"/>
      <c r="I72" s="119"/>
      <c r="J72" s="119"/>
      <c r="K72" s="119"/>
      <c r="L72" s="119"/>
      <c r="M72" s="119"/>
      <c r="N72" s="114" t="s">
        <v>325</v>
      </c>
      <c r="O72" s="114" t="s">
        <v>323</v>
      </c>
      <c r="P72" s="114">
        <v>10.216900000000001</v>
      </c>
      <c r="Q72" s="136">
        <v>10.4</v>
      </c>
      <c r="R72" s="114">
        <v>5.2220000000000004</v>
      </c>
      <c r="S72" s="136">
        <v>5.2</v>
      </c>
      <c r="T72" s="114">
        <v>2461.3000000000002</v>
      </c>
      <c r="U72" s="114">
        <v>2860</v>
      </c>
      <c r="V72" s="114">
        <v>920.7</v>
      </c>
      <c r="W72" s="114">
        <v>950</v>
      </c>
      <c r="X72" s="114">
        <v>5.96</v>
      </c>
      <c r="Y72" s="114">
        <v>5.61</v>
      </c>
      <c r="Z72" s="129">
        <f t="shared" si="2"/>
        <v>1.0623885918003564</v>
      </c>
      <c r="AA72" s="119"/>
      <c r="AB72" s="119"/>
      <c r="AC72" s="114" t="s">
        <v>321</v>
      </c>
      <c r="AD72" s="116">
        <v>46366</v>
      </c>
      <c r="AE72" s="114" t="s">
        <v>323</v>
      </c>
      <c r="AF72" s="119"/>
      <c r="AG72" s="114" t="s">
        <v>42</v>
      </c>
      <c r="AH72" s="114" t="s">
        <v>323</v>
      </c>
      <c r="AI72" s="114" t="s">
        <v>326</v>
      </c>
    </row>
    <row r="73" spans="1:35" ht="15.6" customHeight="1">
      <c r="A73" s="114" t="s">
        <v>173</v>
      </c>
      <c r="B73" s="114" t="s">
        <v>78</v>
      </c>
      <c r="C73" s="114" t="s">
        <v>327</v>
      </c>
      <c r="D73" s="114" t="s">
        <v>328</v>
      </c>
      <c r="E73" s="114"/>
      <c r="F73" s="233" t="s">
        <v>324</v>
      </c>
      <c r="G73" s="234">
        <v>46440</v>
      </c>
      <c r="H73" s="119"/>
      <c r="I73" s="119"/>
      <c r="J73" s="119"/>
      <c r="K73" s="119"/>
      <c r="L73" s="119"/>
      <c r="M73" s="119"/>
      <c r="N73" s="114" t="s">
        <v>325</v>
      </c>
      <c r="O73" s="114" t="s">
        <v>327</v>
      </c>
      <c r="P73" s="114">
        <v>12.350099999999999</v>
      </c>
      <c r="Q73" s="136">
        <v>12.5</v>
      </c>
      <c r="R73" s="114">
        <v>6.1284000000000001</v>
      </c>
      <c r="S73" s="114">
        <v>6.25</v>
      </c>
      <c r="T73" s="114">
        <v>3552.9</v>
      </c>
      <c r="U73" s="114">
        <v>3750</v>
      </c>
      <c r="V73" s="114">
        <v>1132.4000000000001</v>
      </c>
      <c r="W73" s="114">
        <v>1190</v>
      </c>
      <c r="X73" s="114">
        <v>5.49</v>
      </c>
      <c r="Y73" s="114">
        <v>5.32</v>
      </c>
      <c r="Z73" s="129">
        <f t="shared" si="2"/>
        <v>1.0319548872180451</v>
      </c>
      <c r="AA73" s="119"/>
      <c r="AB73" s="119"/>
      <c r="AC73" s="114" t="s">
        <v>321</v>
      </c>
      <c r="AD73" s="116">
        <v>46366</v>
      </c>
      <c r="AE73" s="114" t="s">
        <v>327</v>
      </c>
      <c r="AF73" s="119"/>
      <c r="AG73" s="114" t="s">
        <v>42</v>
      </c>
      <c r="AH73" s="114" t="s">
        <v>327</v>
      </c>
      <c r="AI73" s="114" t="s">
        <v>329</v>
      </c>
    </row>
    <row r="74" spans="1:35">
      <c r="A74" s="114" t="s">
        <v>173</v>
      </c>
      <c r="B74" s="114" t="s">
        <v>78</v>
      </c>
      <c r="C74" s="114" t="s">
        <v>330</v>
      </c>
      <c r="D74" s="114" t="s">
        <v>331</v>
      </c>
      <c r="E74" s="114"/>
      <c r="F74" s="233" t="s">
        <v>332</v>
      </c>
      <c r="G74" s="234">
        <v>46440</v>
      </c>
      <c r="H74" s="119"/>
      <c r="I74" s="119"/>
      <c r="J74" s="119"/>
      <c r="K74" s="119"/>
      <c r="L74" s="119"/>
      <c r="M74" s="119"/>
      <c r="N74" s="114" t="s">
        <v>333</v>
      </c>
      <c r="O74" s="114" t="s">
        <v>330</v>
      </c>
      <c r="P74" s="114">
        <v>10.5726</v>
      </c>
      <c r="Q74" s="136">
        <v>10.1</v>
      </c>
      <c r="R74" s="114">
        <v>5.4943</v>
      </c>
      <c r="S74" s="114">
        <v>5.25</v>
      </c>
      <c r="T74" s="114" t="s">
        <v>334</v>
      </c>
      <c r="U74" s="114">
        <v>2860</v>
      </c>
      <c r="V74" s="114">
        <v>938.9</v>
      </c>
      <c r="W74" s="114">
        <v>1020</v>
      </c>
      <c r="X74" s="114">
        <v>6.19</v>
      </c>
      <c r="Y74" s="114">
        <v>5.35</v>
      </c>
      <c r="Z74" s="129">
        <f t="shared" si="2"/>
        <v>1.1570093457943926</v>
      </c>
      <c r="AA74" s="119"/>
      <c r="AB74" s="119"/>
      <c r="AC74" s="114" t="s">
        <v>321</v>
      </c>
      <c r="AD74" s="116">
        <v>46366</v>
      </c>
      <c r="AE74" s="114" t="s">
        <v>330</v>
      </c>
      <c r="AF74" s="119"/>
      <c r="AG74" s="114" t="s">
        <v>42</v>
      </c>
      <c r="AH74" s="114" t="s">
        <v>330</v>
      </c>
      <c r="AI74" s="114" t="s">
        <v>335</v>
      </c>
    </row>
    <row r="75" spans="1:35" ht="15.75" customHeight="1">
      <c r="A75" s="114" t="s">
        <v>173</v>
      </c>
      <c r="B75" s="114" t="s">
        <v>78</v>
      </c>
      <c r="C75" s="114" t="s">
        <v>336</v>
      </c>
      <c r="D75" s="114" t="s">
        <v>328</v>
      </c>
      <c r="E75" s="114"/>
      <c r="F75" s="233" t="s">
        <v>332</v>
      </c>
      <c r="G75" s="234">
        <v>46440</v>
      </c>
      <c r="H75" s="119"/>
      <c r="I75" s="119"/>
      <c r="J75" s="119"/>
      <c r="K75" s="119"/>
      <c r="L75" s="119"/>
      <c r="M75" s="119"/>
      <c r="N75" s="114" t="s">
        <v>333</v>
      </c>
      <c r="O75" s="114" t="s">
        <v>336</v>
      </c>
      <c r="P75" s="114">
        <v>13.005699999999999</v>
      </c>
      <c r="Q75" s="136">
        <v>12.5</v>
      </c>
      <c r="R75" s="114">
        <v>6.3875999999999999</v>
      </c>
      <c r="S75" s="136">
        <v>6.1</v>
      </c>
      <c r="T75" s="114">
        <v>3499.9</v>
      </c>
      <c r="U75" s="114">
        <v>4000</v>
      </c>
      <c r="V75" s="114">
        <v>1109.9000000000001</v>
      </c>
      <c r="W75" s="114">
        <v>1140</v>
      </c>
      <c r="X75" s="114">
        <v>5.85</v>
      </c>
      <c r="Y75" s="114">
        <v>5.29</v>
      </c>
      <c r="Z75" s="129">
        <f t="shared" si="2"/>
        <v>1.10586011342155</v>
      </c>
      <c r="AA75" s="119"/>
      <c r="AB75" s="119"/>
      <c r="AC75" s="114" t="s">
        <v>321</v>
      </c>
      <c r="AD75" s="116">
        <v>46366</v>
      </c>
      <c r="AE75" s="114" t="s">
        <v>336</v>
      </c>
      <c r="AF75" s="119"/>
      <c r="AG75" s="114" t="s">
        <v>42</v>
      </c>
      <c r="AH75" s="114" t="s">
        <v>336</v>
      </c>
      <c r="AI75" s="114" t="s">
        <v>337</v>
      </c>
    </row>
    <row r="76" spans="1:35" ht="15.6" customHeight="1">
      <c r="A76" s="114" t="s">
        <v>173</v>
      </c>
      <c r="B76" s="114" t="s">
        <v>78</v>
      </c>
      <c r="C76" s="114" t="s">
        <v>338</v>
      </c>
      <c r="D76" s="114" t="s">
        <v>318</v>
      </c>
      <c r="E76" s="114"/>
      <c r="F76" s="233" t="s">
        <v>332</v>
      </c>
      <c r="G76" s="234">
        <v>46440</v>
      </c>
      <c r="H76" s="119"/>
      <c r="I76" s="119"/>
      <c r="J76" s="119"/>
      <c r="K76" s="119"/>
      <c r="L76" s="119"/>
      <c r="M76" s="119"/>
      <c r="N76" s="114" t="s">
        <v>333</v>
      </c>
      <c r="O76" s="114" t="s">
        <v>338</v>
      </c>
      <c r="P76" s="133">
        <v>14.2013</v>
      </c>
      <c r="Q76" s="108">
        <v>14</v>
      </c>
      <c r="R76" s="136">
        <v>6.6546000000000003</v>
      </c>
      <c r="S76" s="138">
        <v>6.44</v>
      </c>
      <c r="T76" s="114">
        <v>4009.6</v>
      </c>
      <c r="U76" s="142">
        <v>4800</v>
      </c>
      <c r="V76" s="114">
        <v>1175.5999999999999</v>
      </c>
      <c r="W76" s="114">
        <v>1170</v>
      </c>
      <c r="X76" s="114">
        <v>5.69</v>
      </c>
      <c r="Y76" s="108">
        <v>5.28</v>
      </c>
      <c r="Z76" s="129">
        <f t="shared" si="2"/>
        <v>1.0776515151515151</v>
      </c>
      <c r="AA76" s="119"/>
      <c r="AB76" s="119"/>
      <c r="AC76" s="114" t="s">
        <v>321</v>
      </c>
      <c r="AD76" s="116">
        <v>46366</v>
      </c>
      <c r="AE76" s="114" t="s">
        <v>338</v>
      </c>
      <c r="AF76" s="119"/>
      <c r="AG76" s="114" t="s">
        <v>42</v>
      </c>
      <c r="AH76" s="114" t="s">
        <v>338</v>
      </c>
      <c r="AI76" s="114" t="s">
        <v>339</v>
      </c>
    </row>
    <row r="77" spans="1:35" ht="15.75" customHeight="1">
      <c r="A77" s="114" t="s">
        <v>35</v>
      </c>
      <c r="B77" s="114" t="s">
        <v>78</v>
      </c>
      <c r="C77" s="114" t="s">
        <v>340</v>
      </c>
      <c r="D77" s="114" t="s">
        <v>278</v>
      </c>
      <c r="E77" s="114"/>
      <c r="F77" s="233" t="s">
        <v>341</v>
      </c>
      <c r="G77" s="234">
        <v>47090</v>
      </c>
      <c r="H77" s="119"/>
      <c r="I77" s="119"/>
      <c r="J77" s="119"/>
      <c r="K77" s="119"/>
      <c r="L77" s="119"/>
      <c r="M77" s="119"/>
      <c r="N77" s="114" t="s">
        <v>342</v>
      </c>
      <c r="O77" s="114" t="s">
        <v>340</v>
      </c>
      <c r="P77" s="114">
        <v>13.909000000000001</v>
      </c>
      <c r="Q77" s="132">
        <v>10.1</v>
      </c>
      <c r="R77" s="114">
        <v>6.1550000000000002</v>
      </c>
      <c r="S77" s="132">
        <v>5.05</v>
      </c>
      <c r="T77" s="114">
        <v>2625</v>
      </c>
      <c r="U77" s="114">
        <v>2880</v>
      </c>
      <c r="V77" s="114">
        <v>960</v>
      </c>
      <c r="W77" s="114">
        <v>970</v>
      </c>
      <c r="X77" s="114">
        <v>5.59</v>
      </c>
      <c r="Y77" s="114">
        <v>5.35</v>
      </c>
      <c r="Z77" s="129">
        <f t="shared" si="2"/>
        <v>1.0448598130841122</v>
      </c>
      <c r="AA77" s="119"/>
      <c r="AB77" s="119"/>
      <c r="AC77" s="114" t="s">
        <v>343</v>
      </c>
      <c r="AD77" s="116">
        <v>46387</v>
      </c>
      <c r="AE77" s="114" t="s">
        <v>340</v>
      </c>
      <c r="AF77" s="119"/>
      <c r="AG77" s="114" t="s">
        <v>42</v>
      </c>
      <c r="AH77" s="114" t="s">
        <v>340</v>
      </c>
      <c r="AI77" s="114" t="s">
        <v>344</v>
      </c>
    </row>
    <row r="78" spans="1:35" ht="15.75" customHeight="1">
      <c r="A78" s="114" t="s">
        <v>35</v>
      </c>
      <c r="B78" s="114" t="s">
        <v>78</v>
      </c>
      <c r="C78" s="114" t="s">
        <v>345</v>
      </c>
      <c r="D78" s="114" t="s">
        <v>284</v>
      </c>
      <c r="E78" s="114"/>
      <c r="F78" s="233" t="s">
        <v>341</v>
      </c>
      <c r="G78" s="234">
        <v>47090</v>
      </c>
      <c r="H78" s="119"/>
      <c r="I78" s="119"/>
      <c r="J78" s="119"/>
      <c r="K78" s="119"/>
      <c r="L78" s="119"/>
      <c r="M78" s="119"/>
      <c r="N78" s="114" t="s">
        <v>342</v>
      </c>
      <c r="O78" s="114" t="s">
        <v>345</v>
      </c>
      <c r="P78" s="114">
        <v>12.824999999999999</v>
      </c>
      <c r="Q78" s="132">
        <v>12.5</v>
      </c>
      <c r="R78" s="114">
        <v>6.1749999999999998</v>
      </c>
      <c r="S78" s="132">
        <v>6.1</v>
      </c>
      <c r="T78" s="114">
        <v>4005</v>
      </c>
      <c r="U78" s="114">
        <v>4000</v>
      </c>
      <c r="V78" s="114">
        <v>1214</v>
      </c>
      <c r="W78" s="114">
        <v>1200</v>
      </c>
      <c r="X78" s="114">
        <v>5.13</v>
      </c>
      <c r="Y78" s="136">
        <v>5.0999999999999996</v>
      </c>
      <c r="Z78" s="129">
        <f t="shared" si="2"/>
        <v>1.0058823529411764</v>
      </c>
      <c r="AA78" s="119"/>
      <c r="AB78" s="119"/>
      <c r="AC78" s="114"/>
      <c r="AD78" s="114"/>
      <c r="AE78" s="114"/>
      <c r="AF78" s="119"/>
      <c r="AG78" s="114" t="s">
        <v>288</v>
      </c>
      <c r="AH78" s="114" t="s">
        <v>345</v>
      </c>
      <c r="AI78" s="114" t="s">
        <v>346</v>
      </c>
    </row>
    <row r="79" spans="1:35" ht="15.6" customHeight="1">
      <c r="A79" s="114" t="s">
        <v>35</v>
      </c>
      <c r="B79" s="114" t="s">
        <v>78</v>
      </c>
      <c r="C79" s="114" t="s">
        <v>347</v>
      </c>
      <c r="D79" s="114" t="s">
        <v>304</v>
      </c>
      <c r="E79" s="114"/>
      <c r="F79" s="233" t="s">
        <v>341</v>
      </c>
      <c r="G79" s="234">
        <v>47090</v>
      </c>
      <c r="H79" s="119"/>
      <c r="I79" s="119"/>
      <c r="J79" s="119"/>
      <c r="K79" s="119"/>
      <c r="L79" s="119"/>
      <c r="M79" s="119"/>
      <c r="N79" s="114" t="s">
        <v>342</v>
      </c>
      <c r="O79" s="114" t="s">
        <v>347</v>
      </c>
      <c r="P79" s="143">
        <v>9.9570000000000007</v>
      </c>
      <c r="Q79" s="132">
        <v>14</v>
      </c>
      <c r="R79" s="114">
        <v>5.1529999999999996</v>
      </c>
      <c r="S79" s="132">
        <v>6.4</v>
      </c>
      <c r="T79" s="114">
        <v>4833</v>
      </c>
      <c r="U79" s="114">
        <v>4800</v>
      </c>
      <c r="V79" s="114">
        <v>1215</v>
      </c>
      <c r="W79" s="114">
        <v>1240</v>
      </c>
      <c r="X79" s="114">
        <v>4.9400000000000004</v>
      </c>
      <c r="Y79" s="114">
        <v>5.04</v>
      </c>
      <c r="Z79" s="129">
        <f t="shared" si="2"/>
        <v>0.98015873015873023</v>
      </c>
      <c r="AA79" s="119"/>
      <c r="AB79" s="119"/>
      <c r="AC79" s="114"/>
      <c r="AD79" s="114"/>
      <c r="AE79" s="114"/>
      <c r="AF79" s="119"/>
      <c r="AG79" s="114" t="s">
        <v>288</v>
      </c>
      <c r="AH79" s="114" t="s">
        <v>347</v>
      </c>
      <c r="AI79" s="114" t="s">
        <v>348</v>
      </c>
    </row>
    <row r="80" spans="1:35" ht="15.75" customHeight="1">
      <c r="A80" s="114" t="s">
        <v>35</v>
      </c>
      <c r="B80" s="114" t="s">
        <v>78</v>
      </c>
      <c r="C80" s="114" t="s">
        <v>349</v>
      </c>
      <c r="D80" s="114" t="s">
        <v>278</v>
      </c>
      <c r="E80" s="114"/>
      <c r="F80" s="233" t="s">
        <v>350</v>
      </c>
      <c r="G80" s="234">
        <v>47236</v>
      </c>
      <c r="H80" s="119"/>
      <c r="I80" s="119"/>
      <c r="J80" s="119"/>
      <c r="K80" s="119"/>
      <c r="L80" s="119"/>
      <c r="M80" s="119"/>
      <c r="N80" s="114" t="s">
        <v>351</v>
      </c>
      <c r="O80" s="114" t="s">
        <v>349</v>
      </c>
      <c r="P80" s="114">
        <v>9.7240000000000002</v>
      </c>
      <c r="Q80" s="132">
        <v>10.1</v>
      </c>
      <c r="R80" s="114">
        <v>5.1130000000000004</v>
      </c>
      <c r="S80" s="132">
        <v>5.05</v>
      </c>
      <c r="T80" s="114">
        <v>2573</v>
      </c>
      <c r="U80" s="114">
        <v>2880</v>
      </c>
      <c r="V80" s="114">
        <v>1043</v>
      </c>
      <c r="W80" s="114">
        <v>970</v>
      </c>
      <c r="X80" s="114">
        <v>5.22</v>
      </c>
      <c r="Y80" s="114">
        <v>5.35</v>
      </c>
      <c r="Z80" s="129">
        <f t="shared" si="2"/>
        <v>0.97570093457943929</v>
      </c>
      <c r="AA80" s="119"/>
      <c r="AB80" s="119"/>
      <c r="AC80" s="114" t="s">
        <v>343</v>
      </c>
      <c r="AD80" s="116">
        <v>46387</v>
      </c>
      <c r="AE80" s="114" t="s">
        <v>349</v>
      </c>
      <c r="AF80" s="119"/>
      <c r="AG80" s="114" t="s">
        <v>42</v>
      </c>
      <c r="AH80" s="114" t="s">
        <v>349</v>
      </c>
      <c r="AI80" s="114" t="s">
        <v>352</v>
      </c>
    </row>
    <row r="81" spans="1:35" ht="15.75" customHeight="1">
      <c r="A81" s="114" t="s">
        <v>35</v>
      </c>
      <c r="B81" s="114" t="s">
        <v>78</v>
      </c>
      <c r="C81" s="114" t="s">
        <v>353</v>
      </c>
      <c r="D81" s="114" t="s">
        <v>284</v>
      </c>
      <c r="E81" s="114"/>
      <c r="F81" s="233" t="s">
        <v>350</v>
      </c>
      <c r="G81" s="234">
        <v>47236</v>
      </c>
      <c r="H81" s="119"/>
      <c r="I81" s="119"/>
      <c r="J81" s="119"/>
      <c r="K81" s="119"/>
      <c r="L81" s="119"/>
      <c r="M81" s="119"/>
      <c r="N81" s="114" t="s">
        <v>354</v>
      </c>
      <c r="O81" s="114" t="s">
        <v>353</v>
      </c>
      <c r="P81" s="108">
        <v>12.807</v>
      </c>
      <c r="Q81" s="108">
        <v>12.5</v>
      </c>
      <c r="R81" s="108">
        <v>6.024</v>
      </c>
      <c r="S81" s="108">
        <v>6.1</v>
      </c>
      <c r="T81" s="114">
        <v>3882</v>
      </c>
      <c r="U81" s="142">
        <v>4000</v>
      </c>
      <c r="V81" s="114">
        <v>1205</v>
      </c>
      <c r="W81" s="114">
        <v>1200</v>
      </c>
      <c r="X81" s="108">
        <v>5.0999999999999996</v>
      </c>
      <c r="Y81" s="108">
        <v>5.0999999999999996</v>
      </c>
      <c r="Z81" s="129">
        <f t="shared" si="2"/>
        <v>1</v>
      </c>
      <c r="AA81" s="119"/>
      <c r="AB81" s="119"/>
      <c r="AC81" s="114"/>
      <c r="AD81" s="114"/>
      <c r="AE81" s="114"/>
      <c r="AF81" s="119"/>
      <c r="AG81" s="114" t="s">
        <v>288</v>
      </c>
      <c r="AH81" s="114" t="s">
        <v>353</v>
      </c>
      <c r="AI81" s="114" t="s">
        <v>355</v>
      </c>
    </row>
    <row r="82" spans="1:35" ht="15.6" customHeight="1">
      <c r="A82" s="114" t="s">
        <v>35</v>
      </c>
      <c r="B82" s="114" t="s">
        <v>78</v>
      </c>
      <c r="C82" s="114" t="s">
        <v>356</v>
      </c>
      <c r="D82" s="114" t="s">
        <v>304</v>
      </c>
      <c r="E82" s="114"/>
      <c r="F82" s="233" t="s">
        <v>350</v>
      </c>
      <c r="G82" s="234">
        <v>47236</v>
      </c>
      <c r="H82" s="119"/>
      <c r="I82" s="119"/>
      <c r="J82" s="119"/>
      <c r="K82" s="119"/>
      <c r="L82" s="119"/>
      <c r="M82" s="119"/>
      <c r="N82" s="114" t="s">
        <v>354</v>
      </c>
      <c r="O82" s="114" t="s">
        <v>356</v>
      </c>
      <c r="P82" s="108">
        <v>13.967000000000001</v>
      </c>
      <c r="Q82" s="108">
        <v>14</v>
      </c>
      <c r="R82" s="114">
        <v>6.42</v>
      </c>
      <c r="S82" s="108">
        <v>6.4</v>
      </c>
      <c r="T82" s="114">
        <v>4888</v>
      </c>
      <c r="U82" s="142">
        <v>4800</v>
      </c>
      <c r="V82" s="114">
        <v>1303</v>
      </c>
      <c r="W82" s="114">
        <v>1240</v>
      </c>
      <c r="X82" s="114">
        <v>4.84</v>
      </c>
      <c r="Y82" s="114">
        <v>5.04</v>
      </c>
      <c r="Z82" s="129">
        <f t="shared" si="2"/>
        <v>0.96031746031746024</v>
      </c>
      <c r="AA82" s="119"/>
      <c r="AB82" s="119"/>
      <c r="AC82" s="114"/>
      <c r="AD82" s="114"/>
      <c r="AE82" s="114"/>
      <c r="AF82" s="119"/>
      <c r="AG82" s="114" t="s">
        <v>288</v>
      </c>
      <c r="AH82" s="114" t="s">
        <v>356</v>
      </c>
      <c r="AI82" s="114" t="s">
        <v>357</v>
      </c>
    </row>
    <row r="83" spans="1:35" ht="15.75" customHeight="1">
      <c r="A83" s="114" t="s">
        <v>60</v>
      </c>
      <c r="B83" s="114" t="s">
        <v>82</v>
      </c>
      <c r="C83" s="114" t="s">
        <v>358</v>
      </c>
      <c r="D83" s="111"/>
      <c r="E83" s="114"/>
      <c r="F83" s="233" t="s">
        <v>359</v>
      </c>
      <c r="G83" s="234">
        <v>47192</v>
      </c>
      <c r="H83" s="119"/>
      <c r="I83" s="119"/>
      <c r="J83" s="119"/>
      <c r="K83" s="119"/>
      <c r="L83" s="119"/>
      <c r="M83" s="119"/>
      <c r="N83" s="114" t="s">
        <v>360</v>
      </c>
      <c r="O83" s="114" t="s">
        <v>358</v>
      </c>
      <c r="P83" s="114">
        <v>10.71</v>
      </c>
      <c r="Q83" s="114">
        <v>11.2</v>
      </c>
      <c r="R83" s="114">
        <v>4.82</v>
      </c>
      <c r="S83" s="114">
        <v>5.04</v>
      </c>
      <c r="T83" s="114">
        <v>2334</v>
      </c>
      <c r="U83" s="114">
        <v>2350</v>
      </c>
      <c r="V83" s="114">
        <v>752</v>
      </c>
      <c r="W83" s="114">
        <v>744</v>
      </c>
      <c r="X83" s="114">
        <v>6.68</v>
      </c>
      <c r="Y83" s="114">
        <v>7.03</v>
      </c>
      <c r="Z83" s="129">
        <f t="shared" si="2"/>
        <v>0.9502133712660028</v>
      </c>
      <c r="AA83" s="119"/>
      <c r="AB83" s="119"/>
      <c r="AC83" s="114" t="s">
        <v>361</v>
      </c>
      <c r="AD83" s="116">
        <v>46651</v>
      </c>
      <c r="AE83" s="114" t="s">
        <v>358</v>
      </c>
      <c r="AF83" s="119"/>
      <c r="AG83" s="114" t="s">
        <v>42</v>
      </c>
      <c r="AH83" s="114" t="s">
        <v>358</v>
      </c>
      <c r="AI83" s="114" t="s">
        <v>362</v>
      </c>
    </row>
    <row r="84" spans="1:35" ht="15.75" customHeight="1">
      <c r="A84" s="114" t="s">
        <v>60</v>
      </c>
      <c r="B84" s="114" t="s">
        <v>82</v>
      </c>
      <c r="C84" s="114" t="s">
        <v>363</v>
      </c>
      <c r="D84" s="111"/>
      <c r="E84" s="114"/>
      <c r="F84" s="233" t="s">
        <v>359</v>
      </c>
      <c r="G84" s="234">
        <v>47192</v>
      </c>
      <c r="H84" s="119"/>
      <c r="I84" s="119"/>
      <c r="J84" s="119"/>
      <c r="K84" s="119"/>
      <c r="L84" s="119"/>
      <c r="M84" s="119"/>
      <c r="N84" s="114" t="s">
        <v>360</v>
      </c>
      <c r="O84" s="114" t="s">
        <v>363</v>
      </c>
      <c r="P84" s="114">
        <v>11.96</v>
      </c>
      <c r="Q84" s="114">
        <v>12.5</v>
      </c>
      <c r="R84" s="114">
        <v>5.39</v>
      </c>
      <c r="S84" s="114">
        <v>5.63</v>
      </c>
      <c r="T84" s="114">
        <v>2801</v>
      </c>
      <c r="U84" s="114">
        <v>2780</v>
      </c>
      <c r="V84" s="114">
        <v>839</v>
      </c>
      <c r="W84" s="114">
        <v>833</v>
      </c>
      <c r="X84" s="114">
        <v>6.56</v>
      </c>
      <c r="Y84" s="114">
        <v>6.9</v>
      </c>
      <c r="Z84" s="129">
        <f t="shared" si="2"/>
        <v>0.95072463768115933</v>
      </c>
      <c r="AA84" s="119"/>
      <c r="AB84" s="119"/>
      <c r="AC84" s="114" t="s">
        <v>361</v>
      </c>
      <c r="AD84" s="116">
        <v>46651</v>
      </c>
      <c r="AE84" s="114" t="s">
        <v>363</v>
      </c>
      <c r="AF84" s="119"/>
      <c r="AG84" s="114" t="s">
        <v>42</v>
      </c>
      <c r="AH84" s="114" t="s">
        <v>363</v>
      </c>
      <c r="AI84" s="114" t="s">
        <v>364</v>
      </c>
    </row>
    <row r="85" spans="1:35" ht="15.6" customHeight="1">
      <c r="A85" s="114" t="s">
        <v>60</v>
      </c>
      <c r="B85" s="114" t="s">
        <v>82</v>
      </c>
      <c r="C85" s="114" t="s">
        <v>365</v>
      </c>
      <c r="D85" s="111"/>
      <c r="E85" s="114"/>
      <c r="F85" s="233" t="s">
        <v>359</v>
      </c>
      <c r="G85" s="234">
        <v>47192</v>
      </c>
      <c r="H85" s="119"/>
      <c r="I85" s="119"/>
      <c r="J85" s="119"/>
      <c r="K85" s="119"/>
      <c r="L85" s="119"/>
      <c r="M85" s="119"/>
      <c r="N85" s="114" t="s">
        <v>360</v>
      </c>
      <c r="O85" s="114" t="s">
        <v>365</v>
      </c>
      <c r="P85" s="114">
        <v>13.43</v>
      </c>
      <c r="Q85" s="137">
        <v>14</v>
      </c>
      <c r="R85" s="114">
        <v>6.02</v>
      </c>
      <c r="S85" s="136">
        <v>6.3</v>
      </c>
      <c r="T85" s="114">
        <v>3229</v>
      </c>
      <c r="U85" s="114">
        <v>3200</v>
      </c>
      <c r="V85" s="114">
        <v>983</v>
      </c>
      <c r="W85" s="114">
        <v>980</v>
      </c>
      <c r="X85" s="114">
        <v>6.29</v>
      </c>
      <c r="Y85" s="114">
        <v>6.61</v>
      </c>
      <c r="Z85" s="129">
        <f t="shared" si="2"/>
        <v>0.95158850226928893</v>
      </c>
      <c r="AA85" s="119"/>
      <c r="AB85" s="119"/>
      <c r="AC85" s="114" t="s">
        <v>361</v>
      </c>
      <c r="AD85" s="116">
        <v>46651</v>
      </c>
      <c r="AE85" s="114" t="s">
        <v>365</v>
      </c>
      <c r="AF85" s="119"/>
      <c r="AG85" s="114" t="s">
        <v>42</v>
      </c>
      <c r="AH85" s="114" t="s">
        <v>365</v>
      </c>
      <c r="AI85" s="114" t="s">
        <v>366</v>
      </c>
    </row>
    <row r="86" spans="1:35" ht="15.75" customHeight="1">
      <c r="A86" s="114" t="s">
        <v>60</v>
      </c>
      <c r="B86" s="114" t="s">
        <v>82</v>
      </c>
      <c r="C86" s="114" t="s">
        <v>367</v>
      </c>
      <c r="D86" s="111"/>
      <c r="E86" s="114"/>
      <c r="F86" s="233" t="s">
        <v>359</v>
      </c>
      <c r="G86" s="234">
        <v>47192</v>
      </c>
      <c r="H86" s="119"/>
      <c r="I86" s="119"/>
      <c r="J86" s="119"/>
      <c r="K86" s="119"/>
      <c r="L86" s="119"/>
      <c r="M86" s="119"/>
      <c r="N86" s="111" t="s">
        <v>360</v>
      </c>
      <c r="O86" s="114" t="s">
        <v>367</v>
      </c>
      <c r="P86" s="136">
        <v>15.4</v>
      </c>
      <c r="Q86" s="137">
        <v>16</v>
      </c>
      <c r="R86" s="114">
        <v>6.86</v>
      </c>
      <c r="S86" s="136">
        <v>7.2</v>
      </c>
      <c r="T86" s="114">
        <v>4164</v>
      </c>
      <c r="U86" s="114">
        <v>4130</v>
      </c>
      <c r="V86" s="114" t="s">
        <v>368</v>
      </c>
      <c r="W86" s="114" t="s">
        <v>369</v>
      </c>
      <c r="X86" s="114">
        <v>6.08</v>
      </c>
      <c r="Y86" s="114">
        <v>6.38</v>
      </c>
      <c r="Z86" s="129">
        <f t="shared" si="2"/>
        <v>0.95297805642633227</v>
      </c>
      <c r="AA86" s="119"/>
      <c r="AB86" s="119"/>
      <c r="AC86" s="114" t="s">
        <v>361</v>
      </c>
      <c r="AD86" s="116">
        <v>46651</v>
      </c>
      <c r="AE86" s="114" t="s">
        <v>367</v>
      </c>
      <c r="AF86" s="119"/>
      <c r="AG86" s="114" t="s">
        <v>42</v>
      </c>
      <c r="AH86" s="114" t="s">
        <v>367</v>
      </c>
      <c r="AI86" s="114" t="s">
        <v>370</v>
      </c>
    </row>
    <row r="87" spans="1:35" ht="15.75" customHeight="1">
      <c r="A87" s="114" t="s">
        <v>60</v>
      </c>
      <c r="B87" s="114" t="s">
        <v>82</v>
      </c>
      <c r="C87" s="114" t="s">
        <v>371</v>
      </c>
      <c r="D87" s="111"/>
      <c r="E87" s="114"/>
      <c r="F87" s="114" t="s">
        <v>372</v>
      </c>
      <c r="G87" s="116">
        <v>47163</v>
      </c>
      <c r="H87" s="119"/>
      <c r="I87" s="119"/>
      <c r="J87" s="119"/>
      <c r="K87" s="119"/>
      <c r="L87" s="119"/>
      <c r="M87" s="119"/>
      <c r="N87" s="111" t="s">
        <v>373</v>
      </c>
      <c r="O87" s="114" t="s">
        <v>371</v>
      </c>
      <c r="P87" s="114">
        <v>16.05</v>
      </c>
      <c r="Q87" s="114">
        <v>15.5</v>
      </c>
      <c r="R87" s="114">
        <v>6.94</v>
      </c>
      <c r="S87" s="114">
        <v>7.25</v>
      </c>
      <c r="T87" s="114">
        <v>4441</v>
      </c>
      <c r="U87" s="114">
        <v>4790</v>
      </c>
      <c r="V87" s="114">
        <v>1492</v>
      </c>
      <c r="W87" s="114">
        <v>1460</v>
      </c>
      <c r="X87" s="114">
        <v>5.08</v>
      </c>
      <c r="Y87" s="114">
        <v>5.18</v>
      </c>
      <c r="Z87" s="129">
        <f t="shared" si="2"/>
        <v>0.98069498069498073</v>
      </c>
      <c r="AA87" s="119"/>
      <c r="AB87" s="119"/>
      <c r="AC87" s="114" t="s">
        <v>374</v>
      </c>
      <c r="AD87" s="116">
        <v>46591</v>
      </c>
      <c r="AE87" s="114" t="s">
        <v>371</v>
      </c>
      <c r="AF87" s="119"/>
      <c r="AG87" s="114" t="s">
        <v>42</v>
      </c>
      <c r="AH87" s="114" t="s">
        <v>371</v>
      </c>
      <c r="AI87" s="114" t="s">
        <v>375</v>
      </c>
    </row>
    <row r="88" spans="1:35" ht="15.75" customHeight="1">
      <c r="A88" s="114" t="s">
        <v>60</v>
      </c>
      <c r="B88" s="114" t="s">
        <v>82</v>
      </c>
      <c r="C88" s="114" t="s">
        <v>376</v>
      </c>
      <c r="D88" s="111"/>
      <c r="E88" s="114"/>
      <c r="F88" s="233" t="s">
        <v>377</v>
      </c>
      <c r="G88" s="234">
        <v>47304</v>
      </c>
      <c r="H88" s="119"/>
      <c r="I88" s="119"/>
      <c r="J88" s="119"/>
      <c r="K88" s="119"/>
      <c r="L88" s="119"/>
      <c r="M88" s="119"/>
      <c r="N88" s="111" t="s">
        <v>378</v>
      </c>
      <c r="O88" s="114" t="s">
        <v>376</v>
      </c>
      <c r="P88" s="114">
        <v>19.27</v>
      </c>
      <c r="Q88" s="137">
        <v>20</v>
      </c>
      <c r="R88" s="114">
        <v>10.14</v>
      </c>
      <c r="S88" s="114">
        <v>10.5</v>
      </c>
      <c r="T88" s="114">
        <v>5563</v>
      </c>
      <c r="U88" s="114">
        <v>5910</v>
      </c>
      <c r="V88" s="114">
        <v>2262</v>
      </c>
      <c r="W88" s="114">
        <v>2260</v>
      </c>
      <c r="X88" s="114">
        <v>4.78</v>
      </c>
      <c r="Y88" s="114">
        <v>4.88</v>
      </c>
      <c r="Z88" s="129">
        <f t="shared" si="2"/>
        <v>0.97950819672131151</v>
      </c>
      <c r="AA88" s="119"/>
      <c r="AB88" s="119"/>
      <c r="AC88" s="114"/>
      <c r="AD88" s="114"/>
      <c r="AE88" s="114"/>
      <c r="AF88" s="119"/>
      <c r="AG88" s="114" t="s">
        <v>288</v>
      </c>
      <c r="AH88" s="114" t="s">
        <v>376</v>
      </c>
      <c r="AI88" s="114" t="s">
        <v>379</v>
      </c>
    </row>
    <row r="89" spans="1:35" ht="15.6" customHeight="1">
      <c r="A89" s="114" t="s">
        <v>60</v>
      </c>
      <c r="B89" s="114" t="s">
        <v>82</v>
      </c>
      <c r="C89" s="114" t="s">
        <v>380</v>
      </c>
      <c r="D89" s="111"/>
      <c r="E89" s="114"/>
      <c r="F89" s="233" t="s">
        <v>377</v>
      </c>
      <c r="G89" s="234">
        <v>47304</v>
      </c>
      <c r="H89" s="119"/>
      <c r="I89" s="119"/>
      <c r="J89" s="119"/>
      <c r="K89" s="119"/>
      <c r="L89" s="119"/>
      <c r="M89" s="119"/>
      <c r="N89" s="111" t="s">
        <v>378</v>
      </c>
      <c r="O89" s="114" t="s">
        <v>380</v>
      </c>
      <c r="P89" s="114">
        <v>23.14</v>
      </c>
      <c r="Q89" s="137">
        <v>24</v>
      </c>
      <c r="R89" s="114">
        <v>11.72</v>
      </c>
      <c r="S89" s="114">
        <v>12.1</v>
      </c>
      <c r="T89" s="114">
        <v>7159</v>
      </c>
      <c r="U89" s="114">
        <v>7510</v>
      </c>
      <c r="V89" s="114">
        <v>2562</v>
      </c>
      <c r="W89" s="114">
        <v>2550</v>
      </c>
      <c r="X89" s="114">
        <v>4.76</v>
      </c>
      <c r="Y89" s="114">
        <v>4.88</v>
      </c>
      <c r="Z89" s="129">
        <f t="shared" si="2"/>
        <v>0.97540983606557374</v>
      </c>
      <c r="AA89" s="119"/>
      <c r="AB89" s="119"/>
      <c r="AC89" s="114"/>
      <c r="AD89" s="114"/>
      <c r="AE89" s="114"/>
      <c r="AF89" s="119"/>
      <c r="AG89" s="114" t="s">
        <v>288</v>
      </c>
      <c r="AH89" s="114" t="s">
        <v>380</v>
      </c>
      <c r="AI89" s="114" t="s">
        <v>381</v>
      </c>
    </row>
    <row r="90" spans="1:35">
      <c r="A90" s="114" t="s">
        <v>60</v>
      </c>
      <c r="B90" s="114" t="s">
        <v>82</v>
      </c>
      <c r="C90" s="114" t="s">
        <v>382</v>
      </c>
      <c r="D90" s="114"/>
      <c r="E90" s="114"/>
      <c r="F90" s="114" t="s">
        <v>383</v>
      </c>
      <c r="G90" s="116">
        <v>46772</v>
      </c>
      <c r="H90" s="119"/>
      <c r="I90" s="119"/>
      <c r="J90" s="119"/>
      <c r="K90" s="119"/>
      <c r="L90" s="119"/>
      <c r="M90" s="119"/>
      <c r="N90" s="111" t="s">
        <v>384</v>
      </c>
      <c r="O90" s="114" t="s">
        <v>382</v>
      </c>
      <c r="P90" s="114">
        <v>53.365000000000002</v>
      </c>
      <c r="Q90" s="137">
        <v>56</v>
      </c>
      <c r="R90" s="114">
        <v>24.161000000000001</v>
      </c>
      <c r="S90" s="114">
        <v>25.2</v>
      </c>
      <c r="T90" s="114">
        <v>18435</v>
      </c>
      <c r="U90" s="114">
        <v>17680</v>
      </c>
      <c r="V90" s="114">
        <v>4932</v>
      </c>
      <c r="W90" s="114">
        <v>4970</v>
      </c>
      <c r="X90" s="114">
        <v>4.84</v>
      </c>
      <c r="Y90" s="114">
        <v>5.09</v>
      </c>
      <c r="Z90" s="129">
        <f t="shared" si="2"/>
        <v>0.9508840864440079</v>
      </c>
      <c r="AA90" s="119"/>
      <c r="AB90" s="119"/>
      <c r="AC90" s="114"/>
      <c r="AD90" s="114"/>
      <c r="AE90" s="114"/>
      <c r="AF90" s="119"/>
      <c r="AG90" s="114" t="s">
        <v>42</v>
      </c>
      <c r="AH90" s="114" t="s">
        <v>382</v>
      </c>
      <c r="AI90" s="114" t="s">
        <v>385</v>
      </c>
    </row>
    <row r="91" spans="1:35" ht="15.75" customHeight="1">
      <c r="A91" s="114" t="s">
        <v>60</v>
      </c>
      <c r="B91" s="114" t="s">
        <v>82</v>
      </c>
      <c r="C91" s="114" t="s">
        <v>386</v>
      </c>
      <c r="D91" s="111"/>
      <c r="E91" s="114"/>
      <c r="F91" s="114" t="s">
        <v>387</v>
      </c>
      <c r="G91" s="116">
        <v>46772</v>
      </c>
      <c r="H91" s="119"/>
      <c r="I91" s="119"/>
      <c r="J91" s="119"/>
      <c r="K91" s="119"/>
      <c r="L91" s="119"/>
      <c r="M91" s="119"/>
      <c r="N91" s="111" t="s">
        <v>388</v>
      </c>
      <c r="O91" s="114" t="s">
        <v>386</v>
      </c>
      <c r="P91" s="114">
        <v>43.582000000000001</v>
      </c>
      <c r="Q91" s="137">
        <v>45</v>
      </c>
      <c r="R91" s="114">
        <v>20.274000000000001</v>
      </c>
      <c r="S91" s="114">
        <v>20.3</v>
      </c>
      <c r="T91" s="114">
        <v>13595</v>
      </c>
      <c r="U91" s="114">
        <v>12840</v>
      </c>
      <c r="V91" s="114">
        <v>3677</v>
      </c>
      <c r="W91" s="114">
        <v>3550</v>
      </c>
      <c r="X91" s="114">
        <v>5.43</v>
      </c>
      <c r="Y91" s="114">
        <v>5.71</v>
      </c>
      <c r="Z91" s="129">
        <f t="shared" si="2"/>
        <v>0.95096322241681253</v>
      </c>
      <c r="AA91" s="119"/>
      <c r="AB91" s="119"/>
      <c r="AC91" s="114" t="s">
        <v>389</v>
      </c>
      <c r="AD91" s="116">
        <v>46611</v>
      </c>
      <c r="AE91" s="114" t="s">
        <v>386</v>
      </c>
      <c r="AF91" s="119"/>
      <c r="AG91" s="114" t="s">
        <v>42</v>
      </c>
      <c r="AH91" s="114" t="s">
        <v>386</v>
      </c>
      <c r="AI91" s="114" t="s">
        <v>390</v>
      </c>
    </row>
    <row r="92" spans="1:35">
      <c r="A92" s="114" t="s">
        <v>60</v>
      </c>
      <c r="B92" s="114" t="s">
        <v>82</v>
      </c>
      <c r="C92" s="114" t="s">
        <v>391</v>
      </c>
      <c r="D92" s="111"/>
      <c r="E92" s="114"/>
      <c r="F92" s="114" t="s">
        <v>392</v>
      </c>
      <c r="G92" s="116">
        <v>46815</v>
      </c>
      <c r="H92" s="119"/>
      <c r="I92" s="119"/>
      <c r="J92" s="119"/>
      <c r="K92" s="119"/>
      <c r="L92" s="119"/>
      <c r="M92" s="119"/>
      <c r="N92" s="111" t="s">
        <v>393</v>
      </c>
      <c r="O92" s="114" t="s">
        <v>391</v>
      </c>
      <c r="P92" s="114">
        <v>32.027000000000001</v>
      </c>
      <c r="Q92" s="114">
        <v>33.5</v>
      </c>
      <c r="R92" s="114">
        <v>14.52</v>
      </c>
      <c r="S92" s="114">
        <v>15.1</v>
      </c>
      <c r="T92" s="114">
        <v>12931</v>
      </c>
      <c r="U92" s="114">
        <v>12430</v>
      </c>
      <c r="V92" s="114">
        <v>2851</v>
      </c>
      <c r="W92" s="114">
        <v>2870</v>
      </c>
      <c r="X92" s="114">
        <v>5.12</v>
      </c>
      <c r="Y92" s="114">
        <v>5.38</v>
      </c>
      <c r="Z92" s="129">
        <f t="shared" si="2"/>
        <v>0.95167286245353166</v>
      </c>
      <c r="AA92" s="119"/>
      <c r="AB92" s="119"/>
      <c r="AC92" s="114" t="s">
        <v>389</v>
      </c>
      <c r="AD92" s="116">
        <v>46611</v>
      </c>
      <c r="AE92" s="114" t="s">
        <v>391</v>
      </c>
      <c r="AF92" s="119"/>
      <c r="AG92" s="114" t="s">
        <v>42</v>
      </c>
      <c r="AH92" s="114" t="s">
        <v>391</v>
      </c>
      <c r="AI92" s="114" t="s">
        <v>394</v>
      </c>
    </row>
    <row r="93" spans="1:35">
      <c r="A93" s="114" t="s">
        <v>60</v>
      </c>
      <c r="B93" s="114" t="s">
        <v>82</v>
      </c>
      <c r="C93" s="114" t="s">
        <v>395</v>
      </c>
      <c r="D93" s="111"/>
      <c r="E93" s="114"/>
      <c r="F93" s="114" t="s">
        <v>396</v>
      </c>
      <c r="G93" s="116">
        <v>46843</v>
      </c>
      <c r="H93" s="119"/>
      <c r="I93" s="119"/>
      <c r="J93" s="119"/>
      <c r="K93" s="119"/>
      <c r="L93" s="119"/>
      <c r="M93" s="119"/>
      <c r="N93" s="111" t="s">
        <v>397</v>
      </c>
      <c r="O93" s="114" t="s">
        <v>395</v>
      </c>
      <c r="P93" s="114">
        <v>22.01</v>
      </c>
      <c r="Q93" s="114">
        <v>22.4</v>
      </c>
      <c r="R93" s="114">
        <v>10.16</v>
      </c>
      <c r="S93" s="114">
        <v>10.3</v>
      </c>
      <c r="T93" s="114">
        <v>5397</v>
      </c>
      <c r="U93" s="114" t="s">
        <v>398</v>
      </c>
      <c r="V93" s="114" t="s">
        <v>399</v>
      </c>
      <c r="W93" s="114" t="s">
        <v>400</v>
      </c>
      <c r="X93" s="114">
        <v>5.85</v>
      </c>
      <c r="Y93" s="114">
        <v>6.11</v>
      </c>
      <c r="Z93" s="129">
        <f t="shared" si="2"/>
        <v>0.95744680851063824</v>
      </c>
      <c r="AA93" s="119"/>
      <c r="AB93" s="119"/>
      <c r="AC93" s="114" t="s">
        <v>401</v>
      </c>
      <c r="AD93" s="116">
        <v>46165</v>
      </c>
      <c r="AE93" s="114" t="s">
        <v>395</v>
      </c>
      <c r="AF93" s="119"/>
      <c r="AG93" s="114" t="s">
        <v>42</v>
      </c>
      <c r="AH93" s="114" t="s">
        <v>395</v>
      </c>
      <c r="AI93" s="114" t="s">
        <v>402</v>
      </c>
    </row>
    <row r="94" spans="1:35">
      <c r="A94" s="114" t="s">
        <v>60</v>
      </c>
      <c r="B94" s="114" t="s">
        <v>82</v>
      </c>
      <c r="C94" s="114" t="s">
        <v>403</v>
      </c>
      <c r="D94" s="111"/>
      <c r="E94" s="114"/>
      <c r="F94" s="114" t="s">
        <v>404</v>
      </c>
      <c r="G94" s="116">
        <v>46850</v>
      </c>
      <c r="H94" s="119"/>
      <c r="I94" s="119"/>
      <c r="J94" s="119"/>
      <c r="K94" s="119"/>
      <c r="L94" s="119"/>
      <c r="M94" s="119"/>
      <c r="N94" s="111" t="s">
        <v>405</v>
      </c>
      <c r="O94" s="114" t="s">
        <v>403</v>
      </c>
      <c r="P94" s="114">
        <v>39.590000000000003</v>
      </c>
      <c r="Q94" s="137">
        <v>40</v>
      </c>
      <c r="R94" s="114">
        <v>17.23</v>
      </c>
      <c r="S94" s="114">
        <v>18.100000000000001</v>
      </c>
      <c r="T94" s="114">
        <v>12179</v>
      </c>
      <c r="U94" s="114">
        <v>11350</v>
      </c>
      <c r="V94" s="114">
        <v>3383</v>
      </c>
      <c r="W94" s="114">
        <v>3420</v>
      </c>
      <c r="X94" s="114">
        <v>5.14</v>
      </c>
      <c r="Y94" s="114">
        <v>5.41</v>
      </c>
      <c r="Z94" s="129">
        <f t="shared" si="2"/>
        <v>0.95009242144177442</v>
      </c>
      <c r="AA94" s="119"/>
      <c r="AB94" s="119"/>
      <c r="AC94" s="114" t="s">
        <v>401</v>
      </c>
      <c r="AD94" s="116">
        <v>46165</v>
      </c>
      <c r="AE94" s="114" t="s">
        <v>403</v>
      </c>
      <c r="AF94" s="119"/>
      <c r="AG94" s="114" t="s">
        <v>42</v>
      </c>
      <c r="AH94" s="114" t="s">
        <v>403</v>
      </c>
      <c r="AI94" s="114" t="s">
        <v>406</v>
      </c>
    </row>
    <row r="95" spans="1:35">
      <c r="A95" s="114" t="s">
        <v>60</v>
      </c>
      <c r="B95" s="114" t="s">
        <v>82</v>
      </c>
      <c r="C95" s="114" t="s">
        <v>407</v>
      </c>
      <c r="D95" s="111"/>
      <c r="E95" s="114"/>
      <c r="F95" s="233" t="s">
        <v>408</v>
      </c>
      <c r="G95" s="234">
        <v>47253</v>
      </c>
      <c r="H95" s="119"/>
      <c r="I95" s="119"/>
      <c r="J95" s="119"/>
      <c r="K95" s="119"/>
      <c r="L95" s="119"/>
      <c r="M95" s="119"/>
      <c r="N95" s="111" t="s">
        <v>409</v>
      </c>
      <c r="O95" s="114" t="s">
        <v>407</v>
      </c>
      <c r="P95" s="114">
        <v>27.01</v>
      </c>
      <c r="Q95" s="137">
        <v>28</v>
      </c>
      <c r="R95" s="114">
        <v>12.84</v>
      </c>
      <c r="S95" s="114">
        <v>12.6</v>
      </c>
      <c r="T95" s="114">
        <v>7361</v>
      </c>
      <c r="U95" s="114">
        <v>7260</v>
      </c>
      <c r="V95" s="114">
        <v>2313</v>
      </c>
      <c r="W95" s="114">
        <v>2260</v>
      </c>
      <c r="X95" s="114">
        <v>5.67</v>
      </c>
      <c r="Y95" s="114">
        <v>5.76</v>
      </c>
      <c r="Z95" s="129">
        <f t="shared" si="2"/>
        <v>0.984375</v>
      </c>
      <c r="AA95" s="119"/>
      <c r="AB95" s="119"/>
      <c r="AC95" s="114" t="s">
        <v>410</v>
      </c>
      <c r="AD95" s="116">
        <v>46623</v>
      </c>
      <c r="AE95" s="114" t="s">
        <v>407</v>
      </c>
      <c r="AF95" s="119"/>
      <c r="AG95" s="114" t="s">
        <v>42</v>
      </c>
      <c r="AH95" s="114" t="s">
        <v>407</v>
      </c>
      <c r="AI95" s="114" t="s">
        <v>411</v>
      </c>
    </row>
    <row r="96" spans="1:35" ht="15.6" customHeight="1">
      <c r="A96" s="114" t="s">
        <v>60</v>
      </c>
      <c r="B96" s="114" t="s">
        <v>82</v>
      </c>
      <c r="C96" s="114" t="s">
        <v>412</v>
      </c>
      <c r="D96" s="111"/>
      <c r="E96" s="114"/>
      <c r="F96" s="233" t="s">
        <v>408</v>
      </c>
      <c r="G96" s="234">
        <v>47253</v>
      </c>
      <c r="H96" s="119"/>
      <c r="I96" s="119"/>
      <c r="J96" s="119"/>
      <c r="K96" s="119"/>
      <c r="L96" s="119"/>
      <c r="M96" s="119"/>
      <c r="N96" s="111" t="s">
        <v>413</v>
      </c>
      <c r="O96" s="114" t="s">
        <v>412</v>
      </c>
      <c r="P96" s="114">
        <v>33.56</v>
      </c>
      <c r="Q96" s="114">
        <v>33.5</v>
      </c>
      <c r="R96" s="114">
        <v>15.97</v>
      </c>
      <c r="S96" s="137">
        <v>16</v>
      </c>
      <c r="T96" s="114">
        <v>9945</v>
      </c>
      <c r="U96" s="114">
        <v>9260</v>
      </c>
      <c r="V96" s="114">
        <v>2895</v>
      </c>
      <c r="W96" s="114">
        <v>2940</v>
      </c>
      <c r="X96" s="114">
        <v>5.52</v>
      </c>
      <c r="Y96" s="114">
        <v>5.56</v>
      </c>
      <c r="Z96" s="129">
        <f t="shared" si="2"/>
        <v>0.9928057553956835</v>
      </c>
      <c r="AA96" s="119"/>
      <c r="AB96" s="119"/>
      <c r="AC96" s="114" t="s">
        <v>414</v>
      </c>
      <c r="AD96" s="116">
        <v>46134</v>
      </c>
      <c r="AE96" s="114" t="s">
        <v>412</v>
      </c>
      <c r="AF96" s="119"/>
      <c r="AG96" s="114" t="s">
        <v>42</v>
      </c>
      <c r="AH96" s="114" t="s">
        <v>412</v>
      </c>
      <c r="AI96" s="114" t="s">
        <v>415</v>
      </c>
    </row>
    <row r="97" spans="1:35">
      <c r="A97" s="114" t="s">
        <v>60</v>
      </c>
      <c r="B97" s="114" t="s">
        <v>82</v>
      </c>
      <c r="C97" s="114" t="s">
        <v>416</v>
      </c>
      <c r="D97" s="111"/>
      <c r="E97" s="114"/>
      <c r="F97" s="181" t="s">
        <v>417</v>
      </c>
      <c r="G97" s="182">
        <v>47255</v>
      </c>
      <c r="H97" s="119"/>
      <c r="I97" s="119"/>
      <c r="J97" s="119"/>
      <c r="K97" s="119"/>
      <c r="L97" s="119"/>
      <c r="M97" s="119"/>
      <c r="N97" s="111" t="s">
        <v>418</v>
      </c>
      <c r="O97" s="114" t="s">
        <v>416</v>
      </c>
      <c r="P97" s="114">
        <v>44.09</v>
      </c>
      <c r="Q97" s="137">
        <v>45</v>
      </c>
      <c r="R97" s="114">
        <v>19.760000000000002</v>
      </c>
      <c r="S97" s="114">
        <v>20.3</v>
      </c>
      <c r="T97" s="114">
        <v>13104</v>
      </c>
      <c r="U97" s="114">
        <v>12150</v>
      </c>
      <c r="V97" s="114">
        <v>3662</v>
      </c>
      <c r="W97" s="114">
        <v>3640</v>
      </c>
      <c r="X97" s="114">
        <v>5.41</v>
      </c>
      <c r="Y97" s="114">
        <v>5.69</v>
      </c>
      <c r="Z97" s="129">
        <f t="shared" si="2"/>
        <v>0.95079086115992961</v>
      </c>
      <c r="AA97" s="119"/>
      <c r="AB97" s="119"/>
      <c r="AC97" s="114" t="s">
        <v>414</v>
      </c>
      <c r="AD97" s="116">
        <v>46134</v>
      </c>
      <c r="AE97" s="114" t="s">
        <v>416</v>
      </c>
      <c r="AF97" s="119"/>
      <c r="AG97" s="114" t="s">
        <v>42</v>
      </c>
      <c r="AH97" s="114" t="s">
        <v>416</v>
      </c>
      <c r="AI97" s="114" t="s">
        <v>419</v>
      </c>
    </row>
    <row r="98" spans="1:35" ht="15.75" customHeight="1">
      <c r="A98" s="114" t="s">
        <v>60</v>
      </c>
      <c r="B98" s="114" t="s">
        <v>82</v>
      </c>
      <c r="C98" s="114" t="s">
        <v>420</v>
      </c>
      <c r="D98" s="111"/>
      <c r="E98" s="114"/>
      <c r="F98" s="233" t="s">
        <v>421</v>
      </c>
      <c r="G98" s="234">
        <v>47255</v>
      </c>
      <c r="H98" s="119"/>
      <c r="I98" s="119"/>
      <c r="J98" s="119"/>
      <c r="K98" s="119"/>
      <c r="L98" s="119"/>
      <c r="M98" s="119"/>
      <c r="N98" s="111" t="s">
        <v>422</v>
      </c>
      <c r="O98" s="114" t="s">
        <v>420</v>
      </c>
      <c r="P98" s="114">
        <v>48.76</v>
      </c>
      <c r="Q98" s="137">
        <v>50</v>
      </c>
      <c r="R98" s="114">
        <v>21.97</v>
      </c>
      <c r="S98" s="114">
        <v>22.5</v>
      </c>
      <c r="T98" s="114">
        <v>15190</v>
      </c>
      <c r="U98" s="114">
        <v>14820</v>
      </c>
      <c r="V98" s="114">
        <v>4398</v>
      </c>
      <c r="W98" s="114">
        <v>4280</v>
      </c>
      <c r="X98" s="114">
        <v>5.05</v>
      </c>
      <c r="Y98" s="114">
        <v>5.31</v>
      </c>
      <c r="Z98" s="129">
        <f t="shared" si="2"/>
        <v>0.95103578154425616</v>
      </c>
      <c r="AA98" s="119"/>
      <c r="AB98" s="119"/>
      <c r="AC98" s="114" t="s">
        <v>410</v>
      </c>
      <c r="AD98" s="116">
        <v>46623</v>
      </c>
      <c r="AE98" s="114" t="s">
        <v>420</v>
      </c>
      <c r="AF98" s="119"/>
      <c r="AG98" s="114" t="s">
        <v>42</v>
      </c>
      <c r="AH98" s="114" t="s">
        <v>420</v>
      </c>
      <c r="AI98" s="114" t="s">
        <v>423</v>
      </c>
    </row>
    <row r="99" spans="1:35" ht="15.6" customHeight="1">
      <c r="A99" s="114" t="s">
        <v>60</v>
      </c>
      <c r="B99" s="114" t="s">
        <v>82</v>
      </c>
      <c r="C99" s="114" t="s">
        <v>424</v>
      </c>
      <c r="D99" s="114"/>
      <c r="E99" s="114"/>
      <c r="F99" s="233" t="s">
        <v>421</v>
      </c>
      <c r="G99" s="234">
        <v>47255</v>
      </c>
      <c r="H99" s="119"/>
      <c r="I99" s="119"/>
      <c r="J99" s="119"/>
      <c r="K99" s="119"/>
      <c r="L99" s="119"/>
      <c r="M99" s="119"/>
      <c r="N99" s="111" t="s">
        <v>425</v>
      </c>
      <c r="O99" s="114" t="s">
        <v>424</v>
      </c>
      <c r="P99" s="114">
        <v>52.81</v>
      </c>
      <c r="Q99" s="137">
        <v>54</v>
      </c>
      <c r="R99" s="114">
        <v>24.12</v>
      </c>
      <c r="S99" s="114">
        <v>24.7</v>
      </c>
      <c r="T99" s="114">
        <v>17363</v>
      </c>
      <c r="U99" s="114">
        <v>16240</v>
      </c>
      <c r="V99" s="114">
        <v>4826</v>
      </c>
      <c r="W99" s="114">
        <v>4940</v>
      </c>
      <c r="X99" s="114">
        <v>4.9800000000000004</v>
      </c>
      <c r="Y99" s="114">
        <v>5.1100000000000003</v>
      </c>
      <c r="Z99" s="129">
        <f t="shared" ref="Z99:Z130" si="3">X99/Y99</f>
        <v>0.97455968688845407</v>
      </c>
      <c r="AA99" s="119"/>
      <c r="AB99" s="119"/>
      <c r="AC99" s="114"/>
      <c r="AD99" s="114"/>
      <c r="AE99" s="114"/>
      <c r="AF99" s="119"/>
      <c r="AG99" s="114" t="s">
        <v>42</v>
      </c>
      <c r="AH99" s="114" t="s">
        <v>424</v>
      </c>
      <c r="AI99" s="114" t="s">
        <v>426</v>
      </c>
    </row>
    <row r="100" spans="1:35">
      <c r="A100" s="114" t="s">
        <v>60</v>
      </c>
      <c r="B100" s="114" t="s">
        <v>82</v>
      </c>
      <c r="C100" s="114" t="s">
        <v>427</v>
      </c>
      <c r="D100" s="111"/>
      <c r="E100" s="114"/>
      <c r="F100" s="233" t="s">
        <v>428</v>
      </c>
      <c r="G100" s="234">
        <v>46255</v>
      </c>
      <c r="H100" s="119"/>
      <c r="I100" s="119"/>
      <c r="J100" s="119"/>
      <c r="K100" s="119"/>
      <c r="L100" s="119"/>
      <c r="M100" s="119"/>
      <c r="N100" s="111" t="s">
        <v>429</v>
      </c>
      <c r="O100" s="114" t="s">
        <v>427</v>
      </c>
      <c r="P100" s="114">
        <v>27.49</v>
      </c>
      <c r="Q100" s="144">
        <v>28</v>
      </c>
      <c r="R100" s="114">
        <v>12.15</v>
      </c>
      <c r="S100" s="114">
        <v>12.6</v>
      </c>
      <c r="T100" s="114">
        <v>7632</v>
      </c>
      <c r="U100" s="114">
        <v>7090</v>
      </c>
      <c r="V100" s="114">
        <v>2354</v>
      </c>
      <c r="W100" s="114">
        <v>2360</v>
      </c>
      <c r="X100" s="114">
        <v>5.34</v>
      </c>
      <c r="Y100" s="114">
        <v>5.62</v>
      </c>
      <c r="Z100" s="129">
        <f t="shared" si="3"/>
        <v>0.95017793594306044</v>
      </c>
      <c r="AA100" s="119"/>
      <c r="AB100" s="119"/>
      <c r="AC100" s="114" t="s">
        <v>430</v>
      </c>
      <c r="AD100" s="116">
        <v>46288</v>
      </c>
      <c r="AE100" s="114" t="s">
        <v>427</v>
      </c>
      <c r="AF100" s="119"/>
      <c r="AG100" s="114" t="s">
        <v>42</v>
      </c>
      <c r="AH100" s="114" t="s">
        <v>427</v>
      </c>
      <c r="AI100" s="114" t="s">
        <v>431</v>
      </c>
    </row>
    <row r="101" spans="1:35" ht="15.75" customHeight="1">
      <c r="A101" s="114" t="s">
        <v>60</v>
      </c>
      <c r="B101" s="114" t="s">
        <v>82</v>
      </c>
      <c r="C101" s="114" t="s">
        <v>432</v>
      </c>
      <c r="D101" s="111"/>
      <c r="E101" s="114"/>
      <c r="F101" s="233" t="s">
        <v>428</v>
      </c>
      <c r="G101" s="234">
        <v>46255</v>
      </c>
      <c r="H101" s="119"/>
      <c r="I101" s="119"/>
      <c r="J101" s="119"/>
      <c r="K101" s="119"/>
      <c r="L101" s="119"/>
      <c r="M101" s="119"/>
      <c r="N101" s="111" t="s">
        <v>429</v>
      </c>
      <c r="O101" s="114" t="s">
        <v>432</v>
      </c>
      <c r="P101" s="114">
        <v>32.54</v>
      </c>
      <c r="Q101" s="144">
        <v>33.5</v>
      </c>
      <c r="R101" s="114">
        <v>15.55</v>
      </c>
      <c r="S101" s="137">
        <v>16</v>
      </c>
      <c r="T101" s="114">
        <v>10444</v>
      </c>
      <c r="U101" s="114">
        <v>9970</v>
      </c>
      <c r="V101" s="114">
        <v>3037</v>
      </c>
      <c r="W101" s="114">
        <v>3000</v>
      </c>
      <c r="X101" s="114">
        <v>5.1100000000000003</v>
      </c>
      <c r="Y101" s="114">
        <v>5.38</v>
      </c>
      <c r="Z101" s="129">
        <f t="shared" si="3"/>
        <v>0.94981412639405216</v>
      </c>
      <c r="AA101" s="119"/>
      <c r="AB101" s="119"/>
      <c r="AC101" s="114" t="s">
        <v>430</v>
      </c>
      <c r="AD101" s="116">
        <v>46288</v>
      </c>
      <c r="AE101" s="114" t="s">
        <v>432</v>
      </c>
      <c r="AF101" s="119"/>
      <c r="AG101" s="114" t="s">
        <v>42</v>
      </c>
      <c r="AH101" s="114" t="s">
        <v>432</v>
      </c>
      <c r="AI101" s="114" t="s">
        <v>433</v>
      </c>
    </row>
    <row r="102" spans="1:35">
      <c r="A102" s="114" t="s">
        <v>60</v>
      </c>
      <c r="B102" s="114" t="s">
        <v>82</v>
      </c>
      <c r="C102" s="114" t="s">
        <v>434</v>
      </c>
      <c r="D102" s="111"/>
      <c r="E102" s="114"/>
      <c r="F102" s="181" t="s">
        <v>435</v>
      </c>
      <c r="G102" s="182">
        <v>46257</v>
      </c>
      <c r="H102" s="119"/>
      <c r="I102" s="119"/>
      <c r="J102" s="119"/>
      <c r="K102" s="119"/>
      <c r="L102" s="119"/>
      <c r="M102" s="119"/>
      <c r="N102" s="111" t="s">
        <v>436</v>
      </c>
      <c r="O102" s="114" t="s">
        <v>434</v>
      </c>
      <c r="P102" s="114">
        <v>40.18</v>
      </c>
      <c r="Q102" s="144">
        <v>40</v>
      </c>
      <c r="R102" s="136">
        <v>17.7</v>
      </c>
      <c r="S102" s="114">
        <v>18.100000000000001</v>
      </c>
      <c r="T102" s="114">
        <v>12988</v>
      </c>
      <c r="U102" s="114">
        <v>12080</v>
      </c>
      <c r="V102" s="114">
        <v>3465</v>
      </c>
      <c r="W102" s="114">
        <v>3400</v>
      </c>
      <c r="X102" s="114">
        <v>5.07</v>
      </c>
      <c r="Y102" s="114">
        <v>5.33</v>
      </c>
      <c r="Z102" s="129">
        <f t="shared" si="3"/>
        <v>0.95121951219512202</v>
      </c>
      <c r="AA102" s="119"/>
      <c r="AB102" s="119"/>
      <c r="AC102" s="114" t="s">
        <v>430</v>
      </c>
      <c r="AD102" s="116">
        <v>46288</v>
      </c>
      <c r="AE102" s="114" t="s">
        <v>434</v>
      </c>
      <c r="AF102" s="119"/>
      <c r="AG102" s="114" t="s">
        <v>42</v>
      </c>
      <c r="AH102" s="114" t="s">
        <v>434</v>
      </c>
      <c r="AI102" s="114" t="s">
        <v>437</v>
      </c>
    </row>
    <row r="103" spans="1:35" ht="15.75" customHeight="1">
      <c r="A103" s="114" t="s">
        <v>60</v>
      </c>
      <c r="B103" s="114" t="s">
        <v>82</v>
      </c>
      <c r="C103" s="114" t="s">
        <v>438</v>
      </c>
      <c r="D103" s="111"/>
      <c r="E103" s="114"/>
      <c r="F103" s="181" t="s">
        <v>439</v>
      </c>
      <c r="G103" s="182">
        <v>46262</v>
      </c>
      <c r="H103" s="119"/>
      <c r="I103" s="119"/>
      <c r="J103" s="119"/>
      <c r="K103" s="119"/>
      <c r="L103" s="119"/>
      <c r="M103" s="119"/>
      <c r="N103" s="111" t="s">
        <v>440</v>
      </c>
      <c r="O103" s="114" t="s">
        <v>438</v>
      </c>
      <c r="P103" s="114">
        <v>21.88</v>
      </c>
      <c r="Q103" s="144">
        <v>22.4</v>
      </c>
      <c r="R103" s="114">
        <v>10.1</v>
      </c>
      <c r="S103" s="114">
        <v>10.3</v>
      </c>
      <c r="T103" s="114">
        <v>5945</v>
      </c>
      <c r="U103" s="114">
        <v>5650</v>
      </c>
      <c r="V103" s="114">
        <v>1829</v>
      </c>
      <c r="W103" s="114">
        <v>1810</v>
      </c>
      <c r="X103" s="114">
        <v>5.61</v>
      </c>
      <c r="Y103" s="114">
        <v>5.89</v>
      </c>
      <c r="Z103" s="129">
        <f t="shared" si="3"/>
        <v>0.95246179966044153</v>
      </c>
      <c r="AA103" s="119"/>
      <c r="AB103" s="119"/>
      <c r="AC103" s="114" t="s">
        <v>430</v>
      </c>
      <c r="AD103" s="116">
        <v>46288</v>
      </c>
      <c r="AE103" s="114" t="s">
        <v>438</v>
      </c>
      <c r="AF103" s="119"/>
      <c r="AG103" s="114" t="s">
        <v>42</v>
      </c>
      <c r="AH103" s="114" t="s">
        <v>438</v>
      </c>
      <c r="AI103" s="114" t="s">
        <v>441</v>
      </c>
    </row>
    <row r="104" spans="1:35">
      <c r="A104" s="114" t="s">
        <v>60</v>
      </c>
      <c r="B104" s="114" t="s">
        <v>82</v>
      </c>
      <c r="C104" s="114" t="s">
        <v>442</v>
      </c>
      <c r="D104" s="111"/>
      <c r="E104" s="114"/>
      <c r="F104" s="233" t="s">
        <v>443</v>
      </c>
      <c r="G104" s="234">
        <v>46262</v>
      </c>
      <c r="H104" s="119"/>
      <c r="I104" s="119"/>
      <c r="J104" s="119"/>
      <c r="K104" s="119"/>
      <c r="L104" s="119"/>
      <c r="M104" s="119"/>
      <c r="N104" s="111" t="s">
        <v>444</v>
      </c>
      <c r="O104" s="114" t="s">
        <v>442</v>
      </c>
      <c r="P104" s="114">
        <v>48.56</v>
      </c>
      <c r="Q104" s="144">
        <v>50</v>
      </c>
      <c r="R104" s="114">
        <v>21.79</v>
      </c>
      <c r="S104" s="114">
        <v>22.5</v>
      </c>
      <c r="T104" s="114">
        <v>16188</v>
      </c>
      <c r="U104" s="114">
        <v>15070</v>
      </c>
      <c r="V104" s="114">
        <v>4296</v>
      </c>
      <c r="W104" s="114">
        <v>4300</v>
      </c>
      <c r="X104" s="114">
        <v>5.01</v>
      </c>
      <c r="Y104" s="114">
        <v>5.27</v>
      </c>
      <c r="Z104" s="129">
        <f t="shared" si="3"/>
        <v>0.95066413662239091</v>
      </c>
      <c r="AA104" s="119"/>
      <c r="AB104" s="119"/>
      <c r="AC104" s="114"/>
      <c r="AD104" s="114"/>
      <c r="AE104" s="114"/>
      <c r="AF104" s="119"/>
      <c r="AG104" s="114">
        <v>1</v>
      </c>
      <c r="AH104" s="114" t="s">
        <v>442</v>
      </c>
      <c r="AI104" s="114" t="s">
        <v>445</v>
      </c>
    </row>
    <row r="105" spans="1:35" ht="15.6" customHeight="1">
      <c r="A105" s="114" t="s">
        <v>60</v>
      </c>
      <c r="B105" s="114" t="s">
        <v>82</v>
      </c>
      <c r="C105" s="114" t="s">
        <v>446</v>
      </c>
      <c r="D105" s="114"/>
      <c r="E105" s="114"/>
      <c r="F105" s="233" t="s">
        <v>443</v>
      </c>
      <c r="G105" s="234">
        <v>46262</v>
      </c>
      <c r="H105" s="119"/>
      <c r="I105" s="119"/>
      <c r="J105" s="119"/>
      <c r="K105" s="119"/>
      <c r="L105" s="119"/>
      <c r="M105" s="119"/>
      <c r="N105" s="111" t="s">
        <v>444</v>
      </c>
      <c r="O105" s="114" t="s">
        <v>446</v>
      </c>
      <c r="P105" s="114">
        <v>52.43</v>
      </c>
      <c r="Q105" s="144">
        <v>54</v>
      </c>
      <c r="R105" s="114">
        <v>23.79</v>
      </c>
      <c r="S105" s="114">
        <v>24.7</v>
      </c>
      <c r="T105" s="114">
        <v>17616</v>
      </c>
      <c r="U105" s="114">
        <v>16500</v>
      </c>
      <c r="V105" s="114">
        <v>4768</v>
      </c>
      <c r="W105" s="114">
        <v>4900</v>
      </c>
      <c r="X105" s="114">
        <v>4.9400000000000004</v>
      </c>
      <c r="Y105" s="114">
        <v>5.1100000000000003</v>
      </c>
      <c r="Z105" s="129">
        <f t="shared" si="3"/>
        <v>0.96673189823874761</v>
      </c>
      <c r="AA105" s="119"/>
      <c r="AB105" s="119"/>
      <c r="AC105" s="114"/>
      <c r="AD105" s="114"/>
      <c r="AE105" s="114"/>
      <c r="AF105" s="119"/>
      <c r="AG105" s="114" t="s">
        <v>42</v>
      </c>
      <c r="AH105" s="114" t="s">
        <v>446</v>
      </c>
      <c r="AI105" s="114" t="s">
        <v>447</v>
      </c>
    </row>
    <row r="106" spans="1:35">
      <c r="A106" s="114" t="s">
        <v>60</v>
      </c>
      <c r="B106" s="114" t="s">
        <v>82</v>
      </c>
      <c r="C106" s="114" t="s">
        <v>448</v>
      </c>
      <c r="D106" s="111"/>
      <c r="E106" s="114"/>
      <c r="F106" s="114" t="s">
        <v>449</v>
      </c>
      <c r="G106" s="116">
        <v>46271</v>
      </c>
      <c r="H106" s="119"/>
      <c r="I106" s="119"/>
      <c r="J106" s="119"/>
      <c r="K106" s="119"/>
      <c r="L106" s="119"/>
      <c r="M106" s="119"/>
      <c r="N106" s="111" t="s">
        <v>450</v>
      </c>
      <c r="O106" s="114" t="s">
        <v>448</v>
      </c>
      <c r="P106" s="114">
        <v>43.19</v>
      </c>
      <c r="Q106" s="144">
        <v>45</v>
      </c>
      <c r="R106" s="114">
        <v>20.239999999999998</v>
      </c>
      <c r="S106" s="144">
        <v>20.3</v>
      </c>
      <c r="T106" s="114">
        <v>13751</v>
      </c>
      <c r="U106" s="114">
        <v>13920</v>
      </c>
      <c r="V106" s="114">
        <v>4094</v>
      </c>
      <c r="W106" s="114">
        <v>3860</v>
      </c>
      <c r="X106" s="114">
        <v>4.99</v>
      </c>
      <c r="Y106" s="114">
        <v>5.25</v>
      </c>
      <c r="Z106" s="129">
        <f t="shared" si="3"/>
        <v>0.95047619047619047</v>
      </c>
      <c r="AA106" s="119"/>
      <c r="AB106" s="119"/>
      <c r="AC106" s="114"/>
      <c r="AD106" s="114"/>
      <c r="AE106" s="114"/>
      <c r="AF106" s="119"/>
      <c r="AG106" s="114" t="s">
        <v>42</v>
      </c>
      <c r="AH106" s="114" t="s">
        <v>448</v>
      </c>
      <c r="AI106" s="114" t="s">
        <v>451</v>
      </c>
    </row>
    <row r="107" spans="1:35" ht="15.75" customHeight="1">
      <c r="A107" s="114" t="s">
        <v>60</v>
      </c>
      <c r="B107" s="114" t="s">
        <v>82</v>
      </c>
      <c r="C107" s="114" t="s">
        <v>452</v>
      </c>
      <c r="D107" s="111"/>
      <c r="E107" s="114"/>
      <c r="F107" s="114" t="s">
        <v>453</v>
      </c>
      <c r="G107" s="116">
        <v>46375</v>
      </c>
      <c r="H107" s="119"/>
      <c r="I107" s="119"/>
      <c r="J107" s="119"/>
      <c r="K107" s="119"/>
      <c r="L107" s="119"/>
      <c r="M107" s="119"/>
      <c r="N107" s="111" t="s">
        <v>454</v>
      </c>
      <c r="O107" s="114" t="s">
        <v>452</v>
      </c>
      <c r="P107" s="114">
        <v>48.58</v>
      </c>
      <c r="Q107" s="144">
        <v>42.5</v>
      </c>
      <c r="R107" s="114">
        <v>18.97</v>
      </c>
      <c r="S107" s="114">
        <v>19.5</v>
      </c>
      <c r="T107" s="114">
        <v>15487</v>
      </c>
      <c r="U107" s="114">
        <v>14190</v>
      </c>
      <c r="V107" s="114">
        <v>4954</v>
      </c>
      <c r="W107" s="114">
        <v>4880</v>
      </c>
      <c r="X107" s="114">
        <v>4.17</v>
      </c>
      <c r="Y107" s="114">
        <v>4.22</v>
      </c>
      <c r="Z107" s="129">
        <f t="shared" si="3"/>
        <v>0.98815165876777256</v>
      </c>
      <c r="AA107" s="119"/>
      <c r="AB107" s="119"/>
      <c r="AC107" s="114"/>
      <c r="AD107" s="114"/>
      <c r="AE107" s="114"/>
      <c r="AF107" s="119"/>
      <c r="AG107" s="114">
        <v>3</v>
      </c>
      <c r="AH107" s="114" t="s">
        <v>452</v>
      </c>
      <c r="AI107" s="114" t="s">
        <v>455</v>
      </c>
    </row>
    <row r="108" spans="1:35">
      <c r="A108" s="114" t="s">
        <v>60</v>
      </c>
      <c r="B108" s="114" t="s">
        <v>82</v>
      </c>
      <c r="C108" s="114" t="s">
        <v>456</v>
      </c>
      <c r="D108" s="111"/>
      <c r="E108" s="114"/>
      <c r="F108" s="114" t="s">
        <v>457</v>
      </c>
      <c r="G108" s="116">
        <v>46404</v>
      </c>
      <c r="H108" s="119"/>
      <c r="I108" s="119"/>
      <c r="J108" s="119"/>
      <c r="K108" s="119"/>
      <c r="L108" s="119"/>
      <c r="M108" s="119"/>
      <c r="N108" s="111" t="s">
        <v>458</v>
      </c>
      <c r="O108" s="114" t="s">
        <v>456</v>
      </c>
      <c r="P108" s="114">
        <v>40.67</v>
      </c>
      <c r="Q108" s="144">
        <v>39</v>
      </c>
      <c r="R108" s="114">
        <v>17.38</v>
      </c>
      <c r="S108" s="137">
        <v>18</v>
      </c>
      <c r="T108" s="114">
        <v>12723</v>
      </c>
      <c r="U108" s="114">
        <v>12800</v>
      </c>
      <c r="V108" s="114">
        <v>4411</v>
      </c>
      <c r="W108" s="114">
        <v>4250</v>
      </c>
      <c r="X108" s="114">
        <v>4.26</v>
      </c>
      <c r="Y108" s="114">
        <v>4.42</v>
      </c>
      <c r="Z108" s="129">
        <f t="shared" si="3"/>
        <v>0.96380090497737558</v>
      </c>
      <c r="AA108" s="119"/>
      <c r="AB108" s="119"/>
      <c r="AC108" s="114"/>
      <c r="AD108" s="114"/>
      <c r="AE108" s="114"/>
      <c r="AF108" s="119"/>
      <c r="AG108" s="114">
        <v>3</v>
      </c>
      <c r="AH108" s="114" t="s">
        <v>456</v>
      </c>
      <c r="AI108" s="114" t="s">
        <v>459</v>
      </c>
    </row>
    <row r="109" spans="1:35">
      <c r="A109" s="114" t="s">
        <v>60</v>
      </c>
      <c r="B109" s="114" t="s">
        <v>82</v>
      </c>
      <c r="C109" s="114" t="s">
        <v>460</v>
      </c>
      <c r="D109" s="111"/>
      <c r="E109" s="114"/>
      <c r="F109" s="114" t="s">
        <v>461</v>
      </c>
      <c r="G109" s="116">
        <v>46423</v>
      </c>
      <c r="H109" s="119"/>
      <c r="I109" s="119"/>
      <c r="J109" s="119"/>
      <c r="K109" s="119"/>
      <c r="L109" s="119"/>
      <c r="M109" s="119"/>
      <c r="N109" s="111" t="s">
        <v>462</v>
      </c>
      <c r="O109" s="114" t="s">
        <v>460</v>
      </c>
      <c r="P109" s="114">
        <v>24.61</v>
      </c>
      <c r="Q109" s="144">
        <v>22.4</v>
      </c>
      <c r="R109" s="114">
        <v>10.52</v>
      </c>
      <c r="S109" s="137">
        <v>11</v>
      </c>
      <c r="T109" s="114">
        <v>6228</v>
      </c>
      <c r="U109" s="114">
        <v>6280</v>
      </c>
      <c r="V109" s="114">
        <v>2485</v>
      </c>
      <c r="W109" s="114">
        <v>2500</v>
      </c>
      <c r="X109" s="114">
        <v>4.78</v>
      </c>
      <c r="Y109" s="114">
        <v>4.75</v>
      </c>
      <c r="Z109" s="129">
        <f t="shared" si="3"/>
        <v>1.0063157894736843</v>
      </c>
      <c r="AA109" s="119"/>
      <c r="AB109" s="119"/>
      <c r="AC109" s="114"/>
      <c r="AD109" s="114"/>
      <c r="AE109" s="114"/>
      <c r="AF109" s="119"/>
      <c r="AG109" s="114">
        <v>2</v>
      </c>
      <c r="AH109" s="114" t="s">
        <v>460</v>
      </c>
      <c r="AI109" s="114" t="s">
        <v>463</v>
      </c>
    </row>
    <row r="110" spans="1:35">
      <c r="A110" s="114" t="s">
        <v>60</v>
      </c>
      <c r="B110" s="114" t="s">
        <v>82</v>
      </c>
      <c r="C110" s="114" t="s">
        <v>464</v>
      </c>
      <c r="D110" s="111"/>
      <c r="E110" s="114"/>
      <c r="F110" s="114" t="s">
        <v>465</v>
      </c>
      <c r="G110" s="116">
        <v>46423</v>
      </c>
      <c r="H110" s="119"/>
      <c r="I110" s="119"/>
      <c r="J110" s="119"/>
      <c r="K110" s="119"/>
      <c r="L110" s="119"/>
      <c r="M110" s="119"/>
      <c r="N110" s="111" t="s">
        <v>466</v>
      </c>
      <c r="O110" s="114" t="s">
        <v>464</v>
      </c>
      <c r="P110" s="136">
        <v>35</v>
      </c>
      <c r="Q110" s="144">
        <v>33.5</v>
      </c>
      <c r="R110" s="114">
        <v>14.82</v>
      </c>
      <c r="S110" s="114">
        <v>15.1</v>
      </c>
      <c r="T110" s="114">
        <v>10325</v>
      </c>
      <c r="U110" s="114">
        <v>10270</v>
      </c>
      <c r="V110" s="114">
        <v>3644</v>
      </c>
      <c r="W110" s="114">
        <v>3420</v>
      </c>
      <c r="X110" s="114">
        <v>4.4400000000000004</v>
      </c>
      <c r="Y110" s="114">
        <v>4.6399999999999997</v>
      </c>
      <c r="Z110" s="129">
        <f t="shared" si="3"/>
        <v>0.95689655172413812</v>
      </c>
      <c r="AA110" s="119"/>
      <c r="AB110" s="119"/>
      <c r="AC110" s="114"/>
      <c r="AD110" s="114"/>
      <c r="AE110" s="114"/>
      <c r="AF110" s="119"/>
      <c r="AG110" s="114">
        <v>2</v>
      </c>
      <c r="AH110" s="114" t="s">
        <v>464</v>
      </c>
      <c r="AI110" s="114" t="s">
        <v>467</v>
      </c>
    </row>
    <row r="111" spans="1:35">
      <c r="A111" s="114" t="s">
        <v>60</v>
      </c>
      <c r="B111" s="114" t="s">
        <v>82</v>
      </c>
      <c r="C111" s="114" t="s">
        <v>468</v>
      </c>
      <c r="D111" s="111"/>
      <c r="E111" s="114"/>
      <c r="F111" s="114" t="s">
        <v>469</v>
      </c>
      <c r="G111" s="116">
        <v>46423</v>
      </c>
      <c r="H111" s="119"/>
      <c r="I111" s="119"/>
      <c r="J111" s="119"/>
      <c r="K111" s="119"/>
      <c r="L111" s="119"/>
      <c r="M111" s="119"/>
      <c r="N111" s="111" t="s">
        <v>470</v>
      </c>
      <c r="O111" s="114" t="s">
        <v>468</v>
      </c>
      <c r="P111" s="114">
        <v>29.4</v>
      </c>
      <c r="Q111" s="144">
        <v>28</v>
      </c>
      <c r="R111" s="114">
        <v>12.13</v>
      </c>
      <c r="S111" s="114">
        <v>12.6</v>
      </c>
      <c r="T111" s="114">
        <v>8727</v>
      </c>
      <c r="U111" s="114">
        <v>8990</v>
      </c>
      <c r="V111" s="114">
        <v>3012</v>
      </c>
      <c r="W111" s="114">
        <v>2820</v>
      </c>
      <c r="X111" s="114">
        <v>4.41</v>
      </c>
      <c r="Y111" s="114">
        <v>4.62</v>
      </c>
      <c r="Z111" s="129">
        <f t="shared" si="3"/>
        <v>0.95454545454545459</v>
      </c>
      <c r="AA111" s="119"/>
      <c r="AB111" s="119"/>
      <c r="AC111" s="114"/>
      <c r="AD111" s="114"/>
      <c r="AE111" s="114"/>
      <c r="AF111" s="119"/>
      <c r="AG111" s="114">
        <v>2</v>
      </c>
      <c r="AH111" s="114" t="s">
        <v>468</v>
      </c>
      <c r="AI111" s="114" t="s">
        <v>471</v>
      </c>
    </row>
    <row r="112" spans="1:35">
      <c r="A112" s="114" t="s">
        <v>60</v>
      </c>
      <c r="B112" s="114" t="s">
        <v>82</v>
      </c>
      <c r="C112" s="114" t="s">
        <v>472</v>
      </c>
      <c r="D112" s="111"/>
      <c r="E112" s="114"/>
      <c r="F112" s="233" t="s">
        <v>473</v>
      </c>
      <c r="G112" s="234">
        <v>46235</v>
      </c>
      <c r="H112" s="119"/>
      <c r="I112" s="119"/>
      <c r="J112" s="119"/>
      <c r="K112" s="119"/>
      <c r="L112" s="119"/>
      <c r="M112" s="119"/>
      <c r="N112" s="111" t="s">
        <v>474</v>
      </c>
      <c r="O112" s="114" t="s">
        <v>472</v>
      </c>
      <c r="P112" s="114">
        <v>13.39</v>
      </c>
      <c r="Q112" s="144">
        <v>14</v>
      </c>
      <c r="R112" s="114">
        <v>6.18</v>
      </c>
      <c r="S112" s="144">
        <v>6.3</v>
      </c>
      <c r="T112" s="114">
        <v>4058</v>
      </c>
      <c r="U112" s="114">
        <v>4210</v>
      </c>
      <c r="V112" s="114">
        <v>975</v>
      </c>
      <c r="W112" s="114">
        <v>980</v>
      </c>
      <c r="X112" s="114">
        <v>6.05</v>
      </c>
      <c r="Y112" s="114">
        <v>6.12</v>
      </c>
      <c r="Z112" s="129">
        <f t="shared" si="3"/>
        <v>0.9885620915032679</v>
      </c>
      <c r="AA112" s="119"/>
      <c r="AB112" s="119"/>
      <c r="AC112" s="114" t="s">
        <v>475</v>
      </c>
      <c r="AD112" s="116">
        <v>46622</v>
      </c>
      <c r="AE112" s="114" t="s">
        <v>472</v>
      </c>
      <c r="AF112" s="119"/>
      <c r="AG112" s="114" t="s">
        <v>42</v>
      </c>
      <c r="AH112" s="114" t="s">
        <v>472</v>
      </c>
      <c r="AI112" s="114" t="s">
        <v>476</v>
      </c>
    </row>
    <row r="113" spans="1:35" ht="15.6" customHeight="1">
      <c r="A113" s="114" t="s">
        <v>60</v>
      </c>
      <c r="B113" s="114" t="s">
        <v>82</v>
      </c>
      <c r="C113" s="114" t="s">
        <v>477</v>
      </c>
      <c r="D113" s="111"/>
      <c r="E113" s="114"/>
      <c r="F113" s="233" t="s">
        <v>473</v>
      </c>
      <c r="G113" s="234">
        <v>46235</v>
      </c>
      <c r="H113" s="119"/>
      <c r="I113" s="119"/>
      <c r="J113" s="119"/>
      <c r="K113" s="119"/>
      <c r="L113" s="119"/>
      <c r="M113" s="119"/>
      <c r="N113" s="111" t="s">
        <v>474</v>
      </c>
      <c r="O113" s="114" t="s">
        <v>477</v>
      </c>
      <c r="P113" s="114">
        <v>11.92</v>
      </c>
      <c r="Q113" s="144">
        <v>12.5</v>
      </c>
      <c r="R113" s="114">
        <v>5.45</v>
      </c>
      <c r="S113" s="138">
        <v>5.7</v>
      </c>
      <c r="T113" s="114">
        <v>3815</v>
      </c>
      <c r="U113" s="114">
        <v>3340</v>
      </c>
      <c r="V113" s="114">
        <v>920</v>
      </c>
      <c r="W113" s="114">
        <v>920</v>
      </c>
      <c r="X113" s="114">
        <v>5.96</v>
      </c>
      <c r="Y113" s="114">
        <v>6.16</v>
      </c>
      <c r="Z113" s="129">
        <f t="shared" si="3"/>
        <v>0.96753246753246747</v>
      </c>
      <c r="AA113" s="119"/>
      <c r="AB113" s="119"/>
      <c r="AC113" s="114" t="s">
        <v>475</v>
      </c>
      <c r="AD113" s="116">
        <v>46622</v>
      </c>
      <c r="AE113" s="114" t="s">
        <v>477</v>
      </c>
      <c r="AF113" s="119"/>
      <c r="AG113" s="114" t="s">
        <v>42</v>
      </c>
      <c r="AH113" s="114" t="s">
        <v>477</v>
      </c>
      <c r="AI113" s="114" t="s">
        <v>478</v>
      </c>
    </row>
    <row r="114" spans="1:35">
      <c r="A114" s="114" t="s">
        <v>60</v>
      </c>
      <c r="B114" s="114" t="s">
        <v>82</v>
      </c>
      <c r="C114" s="114" t="s">
        <v>479</v>
      </c>
      <c r="D114" s="111"/>
      <c r="E114" s="114"/>
      <c r="F114" s="114" t="s">
        <v>480</v>
      </c>
      <c r="G114" s="116">
        <v>46241</v>
      </c>
      <c r="H114" s="119"/>
      <c r="I114" s="119"/>
      <c r="J114" s="119"/>
      <c r="K114" s="119"/>
      <c r="L114" s="119"/>
      <c r="M114" s="119"/>
      <c r="N114" s="111" t="s">
        <v>481</v>
      </c>
      <c r="O114" s="114" t="s">
        <v>479</v>
      </c>
      <c r="P114" s="114">
        <v>11.18</v>
      </c>
      <c r="Q114" s="144">
        <v>11.2</v>
      </c>
      <c r="R114" s="114">
        <v>4.88</v>
      </c>
      <c r="S114" s="114">
        <v>5.04</v>
      </c>
      <c r="T114" s="114">
        <v>3436</v>
      </c>
      <c r="U114" s="114">
        <v>3470</v>
      </c>
      <c r="V114" s="114">
        <v>875</v>
      </c>
      <c r="W114" s="114">
        <v>870</v>
      </c>
      <c r="X114" s="114">
        <v>5.48</v>
      </c>
      <c r="Y114" s="114">
        <v>5.63</v>
      </c>
      <c r="Z114" s="129">
        <f t="shared" si="3"/>
        <v>0.9733570159857905</v>
      </c>
      <c r="AA114" s="119"/>
      <c r="AB114" s="119"/>
      <c r="AC114" s="114" t="s">
        <v>475</v>
      </c>
      <c r="AD114" s="116">
        <v>46622</v>
      </c>
      <c r="AE114" s="114" t="s">
        <v>479</v>
      </c>
      <c r="AF114" s="119"/>
      <c r="AG114" s="114" t="s">
        <v>42</v>
      </c>
      <c r="AH114" s="114" t="s">
        <v>479</v>
      </c>
      <c r="AI114" s="114" t="s">
        <v>482</v>
      </c>
    </row>
    <row r="115" spans="1:35" ht="15.75" customHeight="1">
      <c r="A115" s="114" t="s">
        <v>60</v>
      </c>
      <c r="B115" s="114" t="s">
        <v>82</v>
      </c>
      <c r="C115" s="114" t="s">
        <v>483</v>
      </c>
      <c r="D115" s="111"/>
      <c r="E115" s="114"/>
      <c r="F115" s="114" t="s">
        <v>484</v>
      </c>
      <c r="G115" s="116">
        <v>47134</v>
      </c>
      <c r="H115" s="119"/>
      <c r="I115" s="119"/>
      <c r="J115" s="119"/>
      <c r="K115" s="119"/>
      <c r="L115" s="119"/>
      <c r="M115" s="119"/>
      <c r="N115" s="111" t="s">
        <v>485</v>
      </c>
      <c r="O115" s="114" t="s">
        <v>483</v>
      </c>
      <c r="P115" s="114">
        <v>26.88</v>
      </c>
      <c r="Q115" s="144">
        <v>28</v>
      </c>
      <c r="R115" s="114">
        <v>12.2</v>
      </c>
      <c r="S115" s="114">
        <v>12.7</v>
      </c>
      <c r="T115" s="114">
        <v>8216</v>
      </c>
      <c r="U115" s="114">
        <v>8010</v>
      </c>
      <c r="V115" s="114">
        <v>2471</v>
      </c>
      <c r="W115" s="114">
        <v>2460</v>
      </c>
      <c r="X115" s="114">
        <v>5.04</v>
      </c>
      <c r="Y115" s="114">
        <v>5.29</v>
      </c>
      <c r="Z115" s="129">
        <f t="shared" si="3"/>
        <v>0.95274102079395084</v>
      </c>
      <c r="AA115" s="119"/>
      <c r="AB115" s="119"/>
      <c r="AC115" s="114" t="s">
        <v>486</v>
      </c>
      <c r="AD115" s="116">
        <v>46557</v>
      </c>
      <c r="AE115" s="114" t="s">
        <v>483</v>
      </c>
      <c r="AF115" s="119"/>
      <c r="AG115" s="114" t="s">
        <v>42</v>
      </c>
      <c r="AH115" s="114" t="s">
        <v>483</v>
      </c>
      <c r="AI115" s="114" t="s">
        <v>487</v>
      </c>
    </row>
    <row r="116" spans="1:35">
      <c r="A116" s="114" t="s">
        <v>60</v>
      </c>
      <c r="B116" s="114" t="s">
        <v>82</v>
      </c>
      <c r="C116" s="114" t="s">
        <v>488</v>
      </c>
      <c r="D116" s="111"/>
      <c r="E116" s="114"/>
      <c r="F116" s="114" t="s">
        <v>489</v>
      </c>
      <c r="G116" s="116">
        <v>47134</v>
      </c>
      <c r="H116" s="119"/>
      <c r="I116" s="119"/>
      <c r="J116" s="119"/>
      <c r="K116" s="119"/>
      <c r="L116" s="119"/>
      <c r="M116" s="119"/>
      <c r="N116" s="111" t="s">
        <v>490</v>
      </c>
      <c r="O116" s="114" t="s">
        <v>488</v>
      </c>
      <c r="P116" s="114">
        <v>43.09</v>
      </c>
      <c r="Q116" s="144">
        <v>45</v>
      </c>
      <c r="R116" s="114">
        <v>19.760000000000002</v>
      </c>
      <c r="S116" s="114">
        <v>20.399999999999999</v>
      </c>
      <c r="T116" s="114">
        <v>14097</v>
      </c>
      <c r="U116" s="114">
        <v>13400</v>
      </c>
      <c r="V116" s="114">
        <v>4166</v>
      </c>
      <c r="W116" s="114">
        <v>4170</v>
      </c>
      <c r="X116" s="114">
        <v>4.8</v>
      </c>
      <c r="Y116" s="114">
        <v>5.04</v>
      </c>
      <c r="Z116" s="129">
        <f t="shared" si="3"/>
        <v>0.95238095238095233</v>
      </c>
      <c r="AA116" s="119"/>
      <c r="AB116" s="119"/>
      <c r="AC116" s="114"/>
      <c r="AD116" s="114"/>
      <c r="AE116" s="114"/>
      <c r="AF116" s="119"/>
      <c r="AG116" s="114" t="s">
        <v>42</v>
      </c>
      <c r="AH116" s="114" t="s">
        <v>488</v>
      </c>
      <c r="AI116" s="114" t="s">
        <v>491</v>
      </c>
    </row>
    <row r="117" spans="1:35">
      <c r="A117" s="114" t="s">
        <v>60</v>
      </c>
      <c r="B117" s="114" t="s">
        <v>82</v>
      </c>
      <c r="C117" s="114" t="s">
        <v>492</v>
      </c>
      <c r="D117" s="111"/>
      <c r="E117" s="114"/>
      <c r="F117" s="114" t="s">
        <v>493</v>
      </c>
      <c r="G117" s="116">
        <v>46509</v>
      </c>
      <c r="H117" s="119"/>
      <c r="I117" s="119"/>
      <c r="J117" s="119"/>
      <c r="K117" s="119"/>
      <c r="L117" s="119"/>
      <c r="M117" s="119"/>
      <c r="N117" s="111" t="s">
        <v>494</v>
      </c>
      <c r="O117" s="114" t="s">
        <v>492</v>
      </c>
      <c r="P117" s="114">
        <v>26.94</v>
      </c>
      <c r="Q117" s="144">
        <v>28</v>
      </c>
      <c r="R117" s="114">
        <v>12.02</v>
      </c>
      <c r="S117" s="114">
        <v>12.6</v>
      </c>
      <c r="T117" s="114">
        <v>6827</v>
      </c>
      <c r="U117" s="114">
        <v>6722</v>
      </c>
      <c r="V117" s="114">
        <v>2135</v>
      </c>
      <c r="W117" s="114">
        <v>2133</v>
      </c>
      <c r="X117" s="114">
        <v>5.83</v>
      </c>
      <c r="Y117" s="114">
        <v>6.13</v>
      </c>
      <c r="Z117" s="129">
        <f t="shared" si="3"/>
        <v>0.95106035889070151</v>
      </c>
      <c r="AA117" s="119"/>
      <c r="AB117" s="119"/>
      <c r="AC117" s="114" t="s">
        <v>495</v>
      </c>
      <c r="AD117" s="116">
        <v>46464</v>
      </c>
      <c r="AE117" s="114" t="s">
        <v>492</v>
      </c>
      <c r="AF117" s="119"/>
      <c r="AG117" s="114" t="s">
        <v>42</v>
      </c>
      <c r="AH117" s="114" t="s">
        <v>492</v>
      </c>
      <c r="AI117" s="114" t="s">
        <v>496</v>
      </c>
    </row>
    <row r="118" spans="1:35">
      <c r="A118" s="114" t="s">
        <v>60</v>
      </c>
      <c r="B118" s="114" t="s">
        <v>82</v>
      </c>
      <c r="C118" s="114" t="s">
        <v>497</v>
      </c>
      <c r="D118" s="111"/>
      <c r="E118" s="114"/>
      <c r="F118" s="114" t="s">
        <v>498</v>
      </c>
      <c r="G118" s="116">
        <v>46514</v>
      </c>
      <c r="H118" s="119"/>
      <c r="I118" s="119"/>
      <c r="J118" s="119"/>
      <c r="K118" s="119"/>
      <c r="L118" s="119"/>
      <c r="M118" s="119"/>
      <c r="N118" s="111" t="s">
        <v>499</v>
      </c>
      <c r="O118" s="114" t="s">
        <v>497</v>
      </c>
      <c r="P118" s="114">
        <v>32.119999999999997</v>
      </c>
      <c r="Q118" s="144">
        <v>33.5</v>
      </c>
      <c r="R118" s="114">
        <v>14.64</v>
      </c>
      <c r="S118" s="114">
        <v>15.1</v>
      </c>
      <c r="T118" s="114">
        <v>9487</v>
      </c>
      <c r="U118" s="114">
        <v>8925</v>
      </c>
      <c r="V118" s="114">
        <v>2685</v>
      </c>
      <c r="W118" s="114">
        <v>2688</v>
      </c>
      <c r="X118" s="114">
        <v>5.46</v>
      </c>
      <c r="Y118" s="114">
        <v>5.74</v>
      </c>
      <c r="Z118" s="129">
        <f t="shared" si="3"/>
        <v>0.95121951219512191</v>
      </c>
      <c r="AA118" s="119"/>
      <c r="AB118" s="119"/>
      <c r="AC118" s="114" t="s">
        <v>495</v>
      </c>
      <c r="AD118" s="116">
        <v>46464</v>
      </c>
      <c r="AE118" s="114" t="s">
        <v>497</v>
      </c>
      <c r="AF118" s="119"/>
      <c r="AG118" s="114" t="s">
        <v>42</v>
      </c>
      <c r="AH118" s="114" t="s">
        <v>497</v>
      </c>
      <c r="AI118" s="114" t="s">
        <v>500</v>
      </c>
    </row>
    <row r="119" spans="1:35">
      <c r="A119" s="114" t="s">
        <v>60</v>
      </c>
      <c r="B119" s="114" t="s">
        <v>82</v>
      </c>
      <c r="C119" s="114" t="s">
        <v>501</v>
      </c>
      <c r="D119" s="111"/>
      <c r="E119" s="114"/>
      <c r="F119" s="233" t="s">
        <v>502</v>
      </c>
      <c r="G119" s="234">
        <v>47276</v>
      </c>
      <c r="H119" s="119"/>
      <c r="I119" s="119"/>
      <c r="J119" s="119"/>
      <c r="K119" s="119"/>
      <c r="L119" s="119"/>
      <c r="M119" s="119"/>
      <c r="N119" s="111" t="s">
        <v>503</v>
      </c>
      <c r="O119" s="114" t="s">
        <v>501</v>
      </c>
      <c r="P119" s="114">
        <v>22.35</v>
      </c>
      <c r="Q119" s="144">
        <v>22.4</v>
      </c>
      <c r="R119" s="114">
        <v>10.36</v>
      </c>
      <c r="S119" s="114">
        <v>10.5</v>
      </c>
      <c r="T119" s="114">
        <v>6818</v>
      </c>
      <c r="U119" s="114">
        <v>6300</v>
      </c>
      <c r="V119" s="114">
        <v>2098</v>
      </c>
      <c r="W119" s="114">
        <v>2100</v>
      </c>
      <c r="X119" s="114">
        <v>5.04</v>
      </c>
      <c r="Y119" s="136">
        <v>5.2</v>
      </c>
      <c r="Z119" s="129">
        <f t="shared" si="3"/>
        <v>0.96923076923076923</v>
      </c>
      <c r="AA119" s="119"/>
      <c r="AB119" s="119"/>
      <c r="AC119" s="114" t="s">
        <v>504</v>
      </c>
      <c r="AD119" s="116">
        <v>46596</v>
      </c>
      <c r="AE119" s="114" t="s">
        <v>501</v>
      </c>
      <c r="AF119" s="119"/>
      <c r="AG119" s="114" t="s">
        <v>42</v>
      </c>
      <c r="AH119" s="114" t="s">
        <v>501</v>
      </c>
      <c r="AI119" s="114" t="s">
        <v>505</v>
      </c>
    </row>
    <row r="120" spans="1:35" ht="15.6" customHeight="1">
      <c r="A120" s="114" t="s">
        <v>60</v>
      </c>
      <c r="B120" s="114" t="s">
        <v>82</v>
      </c>
      <c r="C120" s="114" t="s">
        <v>506</v>
      </c>
      <c r="D120" s="111"/>
      <c r="E120" s="114"/>
      <c r="F120" s="233" t="s">
        <v>502</v>
      </c>
      <c r="G120" s="234">
        <v>47276</v>
      </c>
      <c r="H120" s="119"/>
      <c r="I120" s="119"/>
      <c r="J120" s="119"/>
      <c r="K120" s="119"/>
      <c r="L120" s="119"/>
      <c r="M120" s="119"/>
      <c r="N120" s="111" t="s">
        <v>503</v>
      </c>
      <c r="O120" s="114" t="s">
        <v>506</v>
      </c>
      <c r="P120" s="114">
        <v>23.82</v>
      </c>
      <c r="Q120" s="144">
        <v>25</v>
      </c>
      <c r="R120" s="114">
        <v>12.06</v>
      </c>
      <c r="S120" s="114">
        <v>12.4</v>
      </c>
      <c r="T120" s="114">
        <v>8028</v>
      </c>
      <c r="U120" s="114">
        <v>7800</v>
      </c>
      <c r="V120" s="114">
        <v>2518</v>
      </c>
      <c r="W120" s="114">
        <v>2500</v>
      </c>
      <c r="X120" s="114">
        <v>4.82</v>
      </c>
      <c r="Y120" s="114">
        <v>5.04</v>
      </c>
      <c r="Z120" s="129">
        <f t="shared" si="3"/>
        <v>0.95634920634920639</v>
      </c>
      <c r="AA120" s="119"/>
      <c r="AB120" s="119"/>
      <c r="AC120" s="114"/>
      <c r="AD120" s="114"/>
      <c r="AE120" s="114"/>
      <c r="AF120" s="119"/>
      <c r="AG120" s="114" t="s">
        <v>42</v>
      </c>
      <c r="AH120" s="114" t="s">
        <v>506</v>
      </c>
      <c r="AI120" s="114" t="s">
        <v>507</v>
      </c>
    </row>
    <row r="121" spans="1:35">
      <c r="A121" s="114" t="s">
        <v>60</v>
      </c>
      <c r="B121" s="114" t="s">
        <v>82</v>
      </c>
      <c r="C121" s="114" t="s">
        <v>508</v>
      </c>
      <c r="D121" s="111"/>
      <c r="E121" s="114"/>
      <c r="F121" s="233" t="s">
        <v>509</v>
      </c>
      <c r="G121" s="234">
        <v>47081</v>
      </c>
      <c r="H121" s="119"/>
      <c r="I121" s="119"/>
      <c r="J121" s="119"/>
      <c r="K121" s="119"/>
      <c r="L121" s="119"/>
      <c r="M121" s="119"/>
      <c r="N121" s="111" t="s">
        <v>510</v>
      </c>
      <c r="O121" s="114" t="s">
        <v>508</v>
      </c>
      <c r="P121" s="114">
        <v>13.372999999999999</v>
      </c>
      <c r="Q121" s="144">
        <v>14</v>
      </c>
      <c r="R121" s="132">
        <v>6.02</v>
      </c>
      <c r="S121" s="136">
        <v>6.3</v>
      </c>
      <c r="T121" s="114">
        <v>4006</v>
      </c>
      <c r="U121" s="114">
        <v>4010</v>
      </c>
      <c r="V121" s="114">
        <v>965</v>
      </c>
      <c r="W121" s="114">
        <v>978</v>
      </c>
      <c r="X121" s="114">
        <v>5.99</v>
      </c>
      <c r="Y121" s="114">
        <v>6.21</v>
      </c>
      <c r="Z121" s="129">
        <f t="shared" si="3"/>
        <v>0.96457326892109507</v>
      </c>
      <c r="AA121" s="119"/>
      <c r="AB121" s="119"/>
      <c r="AC121" s="114"/>
      <c r="AD121" s="114"/>
      <c r="AE121" s="114"/>
      <c r="AF121" s="119"/>
      <c r="AG121" s="114">
        <v>1</v>
      </c>
      <c r="AH121" s="114" t="s">
        <v>508</v>
      </c>
      <c r="AI121" s="114" t="s">
        <v>511</v>
      </c>
    </row>
    <row r="122" spans="1:35" ht="15.6" customHeight="1">
      <c r="A122" s="114" t="s">
        <v>60</v>
      </c>
      <c r="B122" s="114" t="s">
        <v>82</v>
      </c>
      <c r="C122" s="114" t="s">
        <v>512</v>
      </c>
      <c r="D122" s="111"/>
      <c r="E122" s="114"/>
      <c r="F122" s="233" t="s">
        <v>509</v>
      </c>
      <c r="G122" s="234">
        <v>47081</v>
      </c>
      <c r="H122" s="119"/>
      <c r="I122" s="119"/>
      <c r="J122" s="119"/>
      <c r="K122" s="119"/>
      <c r="L122" s="119"/>
      <c r="M122" s="119"/>
      <c r="N122" s="111" t="s">
        <v>510</v>
      </c>
      <c r="O122" s="114" t="s">
        <v>512</v>
      </c>
      <c r="P122" s="114">
        <v>12.183</v>
      </c>
      <c r="Q122" s="144">
        <v>12.5</v>
      </c>
      <c r="R122" s="97">
        <v>5858</v>
      </c>
      <c r="S122" s="114">
        <v>5.63</v>
      </c>
      <c r="T122" s="114">
        <v>3387</v>
      </c>
      <c r="U122" s="114">
        <v>3280</v>
      </c>
      <c r="V122" s="114">
        <v>913</v>
      </c>
      <c r="W122" s="114">
        <v>892</v>
      </c>
      <c r="X122" s="114">
        <v>6.27</v>
      </c>
      <c r="Y122" s="114">
        <v>6.27</v>
      </c>
      <c r="Z122" s="129">
        <f t="shared" si="3"/>
        <v>1</v>
      </c>
      <c r="AA122" s="119"/>
      <c r="AB122" s="119"/>
      <c r="AC122" s="114"/>
      <c r="AD122" s="114"/>
      <c r="AE122" s="114"/>
      <c r="AF122" s="119"/>
      <c r="AG122" s="114">
        <v>1</v>
      </c>
      <c r="AH122" s="114" t="s">
        <v>512</v>
      </c>
      <c r="AI122" s="114" t="s">
        <v>513</v>
      </c>
    </row>
    <row r="123" spans="1:35" ht="15.75" customHeight="1">
      <c r="A123" s="114" t="s">
        <v>60</v>
      </c>
      <c r="B123" s="114" t="s">
        <v>82</v>
      </c>
      <c r="C123" s="114" t="s">
        <v>514</v>
      </c>
      <c r="D123" s="111"/>
      <c r="E123" s="114"/>
      <c r="F123" s="233" t="s">
        <v>509</v>
      </c>
      <c r="G123" s="234">
        <v>47081</v>
      </c>
      <c r="H123" s="119"/>
      <c r="I123" s="119"/>
      <c r="J123" s="119"/>
      <c r="K123" s="119"/>
      <c r="L123" s="119"/>
      <c r="M123" s="119"/>
      <c r="N123" s="111" t="s">
        <v>510</v>
      </c>
      <c r="O123" s="114" t="s">
        <v>514</v>
      </c>
      <c r="P123" s="114">
        <v>10.723000000000001</v>
      </c>
      <c r="Q123" s="144">
        <v>11.2</v>
      </c>
      <c r="R123" s="114">
        <v>4.9279999999999999</v>
      </c>
      <c r="S123" s="114">
        <v>5.04</v>
      </c>
      <c r="T123" s="114">
        <v>2775</v>
      </c>
      <c r="U123" s="114">
        <v>2810</v>
      </c>
      <c r="V123" s="114">
        <v>788</v>
      </c>
      <c r="W123" s="114">
        <v>798</v>
      </c>
      <c r="X123" s="114">
        <v>6.26</v>
      </c>
      <c r="Y123" s="114">
        <v>6.35</v>
      </c>
      <c r="Z123" s="129">
        <f t="shared" si="3"/>
        <v>0.98582677165354338</v>
      </c>
      <c r="AA123" s="119"/>
      <c r="AB123" s="119"/>
      <c r="AC123" s="114"/>
      <c r="AD123" s="114"/>
      <c r="AE123" s="114"/>
      <c r="AF123" s="119"/>
      <c r="AG123" s="114">
        <v>1</v>
      </c>
      <c r="AH123" s="114" t="s">
        <v>514</v>
      </c>
      <c r="AI123" s="114" t="s">
        <v>515</v>
      </c>
    </row>
    <row r="124" spans="1:35" ht="15.75" customHeight="1">
      <c r="A124" s="114" t="s">
        <v>60</v>
      </c>
      <c r="B124" s="114" t="s">
        <v>82</v>
      </c>
      <c r="C124" s="114" t="s">
        <v>516</v>
      </c>
      <c r="D124" s="111"/>
      <c r="E124" s="114"/>
      <c r="F124" s="233" t="s">
        <v>517</v>
      </c>
      <c r="G124" s="234">
        <v>46404</v>
      </c>
      <c r="H124" s="119"/>
      <c r="I124" s="119"/>
      <c r="J124" s="119"/>
      <c r="K124" s="119"/>
      <c r="L124" s="119"/>
      <c r="M124" s="119"/>
      <c r="N124" s="111" t="s">
        <v>518</v>
      </c>
      <c r="O124" s="114" t="s">
        <v>516</v>
      </c>
      <c r="P124" s="114">
        <v>15.29</v>
      </c>
      <c r="Q124" s="144">
        <v>16</v>
      </c>
      <c r="R124" s="114">
        <v>6.99</v>
      </c>
      <c r="S124" s="114">
        <v>7.2</v>
      </c>
      <c r="T124" s="114">
        <v>2687</v>
      </c>
      <c r="U124" s="114">
        <v>2550</v>
      </c>
      <c r="V124" s="114">
        <v>872</v>
      </c>
      <c r="W124" s="114">
        <v>870</v>
      </c>
      <c r="X124" s="114">
        <v>8.34</v>
      </c>
      <c r="Y124" s="114">
        <v>8.77</v>
      </c>
      <c r="Z124" s="129">
        <f t="shared" si="3"/>
        <v>0.95096921322690997</v>
      </c>
      <c r="AA124" s="119"/>
      <c r="AB124" s="119"/>
      <c r="AC124" s="114" t="s">
        <v>519</v>
      </c>
      <c r="AD124" s="116">
        <v>46464</v>
      </c>
      <c r="AE124" s="114" t="s">
        <v>516</v>
      </c>
      <c r="AF124" s="119"/>
      <c r="AG124" s="114" t="s">
        <v>42</v>
      </c>
      <c r="AH124" s="114" t="s">
        <v>516</v>
      </c>
      <c r="AI124" s="114" t="s">
        <v>520</v>
      </c>
    </row>
    <row r="125" spans="1:35" ht="15.75" customHeight="1">
      <c r="A125" s="114" t="s">
        <v>60</v>
      </c>
      <c r="B125" s="114" t="s">
        <v>82</v>
      </c>
      <c r="C125" s="114" t="s">
        <v>521</v>
      </c>
      <c r="D125" s="111"/>
      <c r="E125" s="114"/>
      <c r="F125" s="233" t="s">
        <v>517</v>
      </c>
      <c r="G125" s="234">
        <v>46404</v>
      </c>
      <c r="H125" s="119"/>
      <c r="I125" s="119"/>
      <c r="J125" s="119"/>
      <c r="K125" s="119"/>
      <c r="L125" s="119"/>
      <c r="M125" s="119"/>
      <c r="N125" s="111" t="s">
        <v>518</v>
      </c>
      <c r="O125" s="114" t="s">
        <v>521</v>
      </c>
      <c r="P125" s="114">
        <v>21.44</v>
      </c>
      <c r="Q125" s="144">
        <v>22.4</v>
      </c>
      <c r="R125" s="114">
        <v>9.64</v>
      </c>
      <c r="S125" s="114">
        <v>10.1</v>
      </c>
      <c r="T125" s="114">
        <v>4290</v>
      </c>
      <c r="U125" s="114">
        <v>4100</v>
      </c>
      <c r="V125" s="114">
        <v>1152</v>
      </c>
      <c r="W125" s="114">
        <v>1166</v>
      </c>
      <c r="X125" s="114">
        <v>8.2899999999999991</v>
      </c>
      <c r="Y125" s="136">
        <v>8.7100000000000009</v>
      </c>
      <c r="Z125" s="129">
        <f t="shared" si="3"/>
        <v>0.95177956371986205</v>
      </c>
      <c r="AA125" s="119"/>
      <c r="AB125" s="119"/>
      <c r="AC125" s="114" t="s">
        <v>522</v>
      </c>
      <c r="AD125" s="116">
        <v>46611</v>
      </c>
      <c r="AE125" s="114" t="s">
        <v>521</v>
      </c>
      <c r="AF125" s="119"/>
      <c r="AG125" s="114" t="s">
        <v>42</v>
      </c>
      <c r="AH125" s="114" t="s">
        <v>521</v>
      </c>
      <c r="AI125" s="114" t="s">
        <v>523</v>
      </c>
    </row>
    <row r="126" spans="1:35" ht="15.6" customHeight="1">
      <c r="A126" s="114" t="s">
        <v>60</v>
      </c>
      <c r="B126" s="114" t="s">
        <v>82</v>
      </c>
      <c r="C126" s="114" t="s">
        <v>524</v>
      </c>
      <c r="D126" s="111"/>
      <c r="E126" s="114"/>
      <c r="F126" s="233" t="s">
        <v>517</v>
      </c>
      <c r="G126" s="234">
        <v>46404</v>
      </c>
      <c r="H126" s="119"/>
      <c r="I126" s="119"/>
      <c r="J126" s="119"/>
      <c r="K126" s="119"/>
      <c r="L126" s="119"/>
      <c r="M126" s="119"/>
      <c r="N126" s="111" t="s">
        <v>518</v>
      </c>
      <c r="O126" s="114" t="s">
        <v>524</v>
      </c>
      <c r="P126" s="114">
        <v>26.87</v>
      </c>
      <c r="Q126" s="144">
        <v>28</v>
      </c>
      <c r="R126" s="114">
        <v>12.04</v>
      </c>
      <c r="S126" s="114">
        <v>12.6</v>
      </c>
      <c r="T126" s="114">
        <v>6320</v>
      </c>
      <c r="U126" s="114">
        <v>6105</v>
      </c>
      <c r="V126" s="114">
        <v>1514</v>
      </c>
      <c r="W126" s="114">
        <v>1521</v>
      </c>
      <c r="X126" s="114">
        <v>7.63</v>
      </c>
      <c r="Y126" s="114">
        <v>8.0299999999999994</v>
      </c>
      <c r="Z126" s="129">
        <f t="shared" si="3"/>
        <v>0.95018679950186802</v>
      </c>
      <c r="AA126" s="119"/>
      <c r="AB126" s="119"/>
      <c r="AC126" s="114" t="s">
        <v>522</v>
      </c>
      <c r="AD126" s="116">
        <v>46611</v>
      </c>
      <c r="AE126" s="114" t="s">
        <v>524</v>
      </c>
      <c r="AF126" s="119"/>
      <c r="AG126" s="114" t="s">
        <v>42</v>
      </c>
      <c r="AH126" s="114" t="s">
        <v>524</v>
      </c>
      <c r="AI126" s="114" t="s">
        <v>525</v>
      </c>
    </row>
    <row r="127" spans="1:35" ht="15.75" customHeight="1">
      <c r="A127" s="114" t="s">
        <v>60</v>
      </c>
      <c r="B127" s="114" t="s">
        <v>82</v>
      </c>
      <c r="C127" s="114" t="s">
        <v>526</v>
      </c>
      <c r="D127" s="111"/>
      <c r="E127" s="114"/>
      <c r="F127" s="233" t="s">
        <v>517</v>
      </c>
      <c r="G127" s="234">
        <v>46404</v>
      </c>
      <c r="H127" s="119"/>
      <c r="I127" s="119"/>
      <c r="J127" s="119"/>
      <c r="K127" s="119"/>
      <c r="L127" s="119"/>
      <c r="M127" s="119"/>
      <c r="N127" s="111" t="s">
        <v>518</v>
      </c>
      <c r="O127" s="114" t="s">
        <v>526</v>
      </c>
      <c r="P127" s="136">
        <v>31.9</v>
      </c>
      <c r="Q127" s="144">
        <v>33.5</v>
      </c>
      <c r="R127" s="114">
        <v>14.4</v>
      </c>
      <c r="S127" s="114">
        <v>15.1</v>
      </c>
      <c r="T127" s="114">
        <v>8167</v>
      </c>
      <c r="U127" s="114">
        <v>8160</v>
      </c>
      <c r="V127" s="114">
        <v>1818</v>
      </c>
      <c r="W127" s="114">
        <v>1810</v>
      </c>
      <c r="X127" s="114">
        <v>7.44</v>
      </c>
      <c r="Y127" s="114">
        <v>7.83</v>
      </c>
      <c r="Z127" s="129">
        <f t="shared" si="3"/>
        <v>0.95019157088122608</v>
      </c>
      <c r="AA127" s="119"/>
      <c r="AB127" s="119"/>
      <c r="AC127" s="114" t="s">
        <v>519</v>
      </c>
      <c r="AD127" s="116">
        <v>46464</v>
      </c>
      <c r="AE127" s="114" t="s">
        <v>526</v>
      </c>
      <c r="AF127" s="119"/>
      <c r="AG127" s="114" t="s">
        <v>42</v>
      </c>
      <c r="AH127" s="114" t="s">
        <v>526</v>
      </c>
      <c r="AI127" s="114" t="s">
        <v>527</v>
      </c>
    </row>
    <row r="128" spans="1:35" ht="15.75" customHeight="1">
      <c r="A128" s="114" t="s">
        <v>173</v>
      </c>
      <c r="B128" s="114" t="s">
        <v>36</v>
      </c>
      <c r="C128" s="114" t="s">
        <v>528</v>
      </c>
      <c r="D128" s="114" t="s">
        <v>529</v>
      </c>
      <c r="E128" s="111"/>
      <c r="F128" s="233" t="s">
        <v>530</v>
      </c>
      <c r="G128" s="234">
        <v>47158</v>
      </c>
      <c r="N128" s="111" t="s">
        <v>531</v>
      </c>
      <c r="O128" s="114" t="s">
        <v>528</v>
      </c>
      <c r="P128" s="114">
        <v>7.907</v>
      </c>
      <c r="Q128" s="144">
        <v>8</v>
      </c>
      <c r="R128" s="114">
        <v>3.6690999999999998</v>
      </c>
      <c r="S128" s="128">
        <v>3.68</v>
      </c>
      <c r="T128" s="114">
        <v>2.0979999999999999</v>
      </c>
      <c r="U128" s="136">
        <v>2.12</v>
      </c>
      <c r="V128" s="133">
        <v>0.64359999999999995</v>
      </c>
      <c r="W128" s="132">
        <v>0.63500000000000001</v>
      </c>
      <c r="X128" s="114">
        <v>5.81</v>
      </c>
      <c r="Y128" s="108">
        <v>5.88</v>
      </c>
      <c r="Z128" s="145">
        <f t="shared" si="3"/>
        <v>0.98809523809523803</v>
      </c>
      <c r="AC128" s="114" t="s">
        <v>532</v>
      </c>
      <c r="AD128" s="116">
        <v>46557</v>
      </c>
      <c r="AE128" s="114" t="s">
        <v>528</v>
      </c>
      <c r="AG128" s="114" t="s">
        <v>42</v>
      </c>
      <c r="AH128" s="114" t="s">
        <v>528</v>
      </c>
      <c r="AI128" s="114" t="s">
        <v>533</v>
      </c>
    </row>
    <row r="129" spans="1:35" ht="15.75" customHeight="1">
      <c r="A129" s="114" t="s">
        <v>173</v>
      </c>
      <c r="B129" s="114" t="s">
        <v>36</v>
      </c>
      <c r="C129" s="114" t="s">
        <v>534</v>
      </c>
      <c r="D129" s="114" t="s">
        <v>535</v>
      </c>
      <c r="E129" s="111"/>
      <c r="F129" s="233" t="s">
        <v>530</v>
      </c>
      <c r="G129" s="234">
        <v>47158</v>
      </c>
      <c r="N129" s="111" t="s">
        <v>531</v>
      </c>
      <c r="O129" s="114" t="s">
        <v>534</v>
      </c>
      <c r="P129" s="114">
        <v>8.6150000000000002</v>
      </c>
      <c r="Q129" s="144">
        <v>8.6999999999999993</v>
      </c>
      <c r="R129" s="114">
        <v>3.8891</v>
      </c>
      <c r="S129" s="138">
        <v>4.01</v>
      </c>
      <c r="T129" s="114">
        <v>2.3626999999999998</v>
      </c>
      <c r="U129" s="137">
        <v>2.4</v>
      </c>
      <c r="V129" s="114">
        <v>0.72160000000000002</v>
      </c>
      <c r="W129" s="132">
        <v>0.72699999999999998</v>
      </c>
      <c r="X129" s="114">
        <v>5.53</v>
      </c>
      <c r="Y129" s="114">
        <v>5.62</v>
      </c>
      <c r="Z129" s="145">
        <f t="shared" si="3"/>
        <v>0.98398576512455516</v>
      </c>
      <c r="AC129" s="114" t="s">
        <v>532</v>
      </c>
      <c r="AD129" s="116">
        <v>46557</v>
      </c>
      <c r="AE129" s="114" t="s">
        <v>534</v>
      </c>
      <c r="AG129" s="114" t="s">
        <v>42</v>
      </c>
      <c r="AH129" s="114" t="s">
        <v>534</v>
      </c>
      <c r="AI129" s="114" t="s">
        <v>536</v>
      </c>
    </row>
    <row r="130" spans="1:35">
      <c r="A130" s="119" t="s">
        <v>35</v>
      </c>
      <c r="B130" s="119" t="s">
        <v>78</v>
      </c>
      <c r="C130" s="119" t="s">
        <v>537</v>
      </c>
      <c r="D130" s="119" t="s">
        <v>272</v>
      </c>
      <c r="E130" s="119"/>
      <c r="F130" s="119" t="s">
        <v>538</v>
      </c>
      <c r="G130" s="117">
        <v>45981</v>
      </c>
      <c r="N130" s="118" t="s">
        <v>539</v>
      </c>
      <c r="O130" s="119" t="s">
        <v>537</v>
      </c>
      <c r="P130" s="109">
        <v>7.2350000000000003</v>
      </c>
      <c r="Q130" s="146">
        <v>7.2</v>
      </c>
      <c r="R130" s="118">
        <v>3.4820000000000002</v>
      </c>
      <c r="S130" s="147">
        <v>3.6</v>
      </c>
      <c r="T130" s="118">
        <v>1885</v>
      </c>
      <c r="U130" s="118">
        <v>1900</v>
      </c>
      <c r="V130" s="118">
        <v>596</v>
      </c>
      <c r="W130" s="118">
        <v>620</v>
      </c>
      <c r="X130" s="118">
        <v>5.96</v>
      </c>
      <c r="Y130" s="118">
        <v>5.92</v>
      </c>
      <c r="Z130" s="122">
        <f t="shared" si="3"/>
        <v>1.0067567567567568</v>
      </c>
      <c r="AC130" s="114" t="s">
        <v>343</v>
      </c>
      <c r="AD130" s="116">
        <v>46387</v>
      </c>
      <c r="AE130" s="114" t="s">
        <v>537</v>
      </c>
      <c r="AG130" s="114">
        <v>1</v>
      </c>
      <c r="AH130" s="114" t="s">
        <v>537</v>
      </c>
      <c r="AI130" s="114" t="s">
        <v>540</v>
      </c>
    </row>
    <row r="131" spans="1:35" ht="15.75" customHeight="1">
      <c r="A131" s="119" t="s">
        <v>35</v>
      </c>
      <c r="B131" s="119" t="s">
        <v>78</v>
      </c>
      <c r="C131" s="119" t="s">
        <v>541</v>
      </c>
      <c r="D131" s="119" t="s">
        <v>266</v>
      </c>
      <c r="E131" s="119"/>
      <c r="F131" s="119" t="s">
        <v>542</v>
      </c>
      <c r="G131" s="117">
        <v>46140</v>
      </c>
      <c r="N131" s="118" t="s">
        <v>543</v>
      </c>
      <c r="O131" s="119" t="s">
        <v>541</v>
      </c>
      <c r="P131" s="118">
        <v>11.013</v>
      </c>
      <c r="Q131" s="148">
        <v>10.1</v>
      </c>
      <c r="R131" s="118">
        <v>4.8680000000000003</v>
      </c>
      <c r="S131" s="147">
        <v>5.05</v>
      </c>
      <c r="T131" s="118">
        <v>2943</v>
      </c>
      <c r="U131" s="149">
        <v>2880</v>
      </c>
      <c r="V131" s="118">
        <v>894</v>
      </c>
      <c r="W131" s="150">
        <v>970</v>
      </c>
      <c r="X131" s="118">
        <v>5.61</v>
      </c>
      <c r="Y131" s="118">
        <v>5.35</v>
      </c>
      <c r="Z131" s="122">
        <f t="shared" ref="Z131:Z148" si="4">X131/Y131</f>
        <v>1.0485981308411216</v>
      </c>
      <c r="AC131" s="114" t="s">
        <v>343</v>
      </c>
      <c r="AD131" s="116">
        <v>46387</v>
      </c>
      <c r="AE131" s="114" t="s">
        <v>541</v>
      </c>
      <c r="AG131" s="114">
        <v>1</v>
      </c>
      <c r="AH131" s="114" t="s">
        <v>541</v>
      </c>
      <c r="AI131" s="114" t="s">
        <v>544</v>
      </c>
    </row>
    <row r="132" spans="1:35" ht="15.75" customHeight="1">
      <c r="A132" s="119" t="s">
        <v>35</v>
      </c>
      <c r="B132" s="119" t="s">
        <v>78</v>
      </c>
      <c r="C132" s="119" t="s">
        <v>545</v>
      </c>
      <c r="D132" s="119" t="s">
        <v>311</v>
      </c>
      <c r="E132" s="119"/>
      <c r="F132" s="119" t="s">
        <v>542</v>
      </c>
      <c r="G132" s="117">
        <v>46140</v>
      </c>
      <c r="N132" s="118" t="s">
        <v>543</v>
      </c>
      <c r="O132" s="119" t="s">
        <v>545</v>
      </c>
      <c r="P132" s="118">
        <v>12.896000000000001</v>
      </c>
      <c r="Q132" s="148">
        <v>12.5</v>
      </c>
      <c r="R132" s="118">
        <v>6.1440000000000001</v>
      </c>
      <c r="S132" s="147">
        <v>6.1</v>
      </c>
      <c r="T132" s="118">
        <v>4029</v>
      </c>
      <c r="U132" s="149">
        <v>4000</v>
      </c>
      <c r="V132" s="118">
        <v>1155</v>
      </c>
      <c r="W132" s="150">
        <v>1200</v>
      </c>
      <c r="X132" s="118">
        <v>5.29</v>
      </c>
      <c r="Y132" s="151">
        <v>5.0999999999999996</v>
      </c>
      <c r="Z132" s="122">
        <f t="shared" si="4"/>
        <v>1.0372549019607844</v>
      </c>
      <c r="AC132" s="114"/>
      <c r="AD132" s="116"/>
      <c r="AE132" s="114"/>
      <c r="AG132" s="114"/>
      <c r="AH132" s="114"/>
      <c r="AI132" s="114"/>
    </row>
    <row r="133" spans="1:35" ht="15.75" customHeight="1">
      <c r="A133" s="119" t="s">
        <v>35</v>
      </c>
      <c r="B133" s="119" t="s">
        <v>78</v>
      </c>
      <c r="C133" s="119" t="s">
        <v>546</v>
      </c>
      <c r="D133" s="119" t="s">
        <v>304</v>
      </c>
      <c r="E133" s="119"/>
      <c r="F133" s="119" t="s">
        <v>542</v>
      </c>
      <c r="G133" s="117">
        <v>46140</v>
      </c>
      <c r="N133" s="118" t="s">
        <v>543</v>
      </c>
      <c r="O133" s="119" t="s">
        <v>546</v>
      </c>
      <c r="P133" s="147">
        <v>14.1</v>
      </c>
      <c r="Q133" s="148">
        <v>14</v>
      </c>
      <c r="R133" s="118">
        <v>6.4989999999999997</v>
      </c>
      <c r="S133" s="147">
        <v>6.4</v>
      </c>
      <c r="T133" s="118">
        <v>4713</v>
      </c>
      <c r="U133" s="149">
        <v>4800</v>
      </c>
      <c r="V133" s="118">
        <v>1267</v>
      </c>
      <c r="W133" s="150">
        <v>1240</v>
      </c>
      <c r="X133" s="118">
        <v>5.05</v>
      </c>
      <c r="Y133" s="118">
        <v>5.04</v>
      </c>
      <c r="Z133" s="122">
        <f t="shared" si="4"/>
        <v>1.001984126984127</v>
      </c>
      <c r="AC133" s="114"/>
      <c r="AD133" s="116"/>
      <c r="AE133" s="114"/>
      <c r="AG133" s="114"/>
      <c r="AH133" s="114"/>
      <c r="AI133" s="114"/>
    </row>
    <row r="134" spans="1:35">
      <c r="A134" s="119" t="s">
        <v>35</v>
      </c>
      <c r="B134" s="119" t="s">
        <v>36</v>
      </c>
      <c r="C134" s="119" t="s">
        <v>547</v>
      </c>
      <c r="D134" s="119" t="s">
        <v>548</v>
      </c>
      <c r="F134" s="119" t="s">
        <v>549</v>
      </c>
      <c r="G134" s="117">
        <v>46003</v>
      </c>
      <c r="N134" s="118" t="s">
        <v>550</v>
      </c>
      <c r="O134" s="119" t="s">
        <v>547</v>
      </c>
      <c r="P134" s="118">
        <v>5.9379999999999997</v>
      </c>
      <c r="Q134" s="148">
        <v>6</v>
      </c>
      <c r="R134" s="118">
        <v>2.9449999999999998</v>
      </c>
      <c r="S134" s="148">
        <v>3</v>
      </c>
      <c r="T134" s="118">
        <v>1673</v>
      </c>
      <c r="U134" s="118">
        <v>1670</v>
      </c>
      <c r="V134" s="118">
        <v>529</v>
      </c>
      <c r="W134" s="118">
        <v>534</v>
      </c>
      <c r="X134" s="118">
        <v>5.64</v>
      </c>
      <c r="Y134" s="118">
        <v>5.7</v>
      </c>
      <c r="Z134" s="129">
        <f t="shared" si="4"/>
        <v>0.98947368421052628</v>
      </c>
      <c r="AC134" s="114" t="s">
        <v>551</v>
      </c>
      <c r="AD134" s="116">
        <v>46387</v>
      </c>
      <c r="AE134" s="114" t="s">
        <v>547</v>
      </c>
      <c r="AG134" s="114">
        <v>1</v>
      </c>
      <c r="AH134" s="114" t="s">
        <v>547</v>
      </c>
      <c r="AI134" s="114" t="s">
        <v>552</v>
      </c>
    </row>
    <row r="135" spans="1:35">
      <c r="A135" s="119" t="s">
        <v>35</v>
      </c>
      <c r="B135" s="119" t="s">
        <v>36</v>
      </c>
      <c r="C135" s="119" t="s">
        <v>553</v>
      </c>
      <c r="D135" s="119" t="s">
        <v>554</v>
      </c>
      <c r="F135" s="202" t="s">
        <v>555</v>
      </c>
      <c r="G135" s="117">
        <v>45999</v>
      </c>
      <c r="N135" s="118" t="s">
        <v>556</v>
      </c>
      <c r="O135" s="119" t="s">
        <v>553</v>
      </c>
      <c r="P135" s="118">
        <v>2.181</v>
      </c>
      <c r="Q135" s="148">
        <v>2.2000000000000002</v>
      </c>
      <c r="R135" s="118">
        <v>1.0780000000000001</v>
      </c>
      <c r="S135" s="147">
        <v>1.1000000000000001</v>
      </c>
      <c r="T135" s="118">
        <v>442</v>
      </c>
      <c r="U135" s="118">
        <v>460</v>
      </c>
      <c r="V135" s="118">
        <v>185</v>
      </c>
      <c r="W135" s="118">
        <v>180</v>
      </c>
      <c r="X135" s="118">
        <v>6.36</v>
      </c>
      <c r="Y135" s="118">
        <v>6.53</v>
      </c>
      <c r="Z135" s="129">
        <f t="shared" si="4"/>
        <v>0.97396630934150075</v>
      </c>
      <c r="AC135" s="114" t="s">
        <v>557</v>
      </c>
      <c r="AD135" s="116">
        <v>46191</v>
      </c>
      <c r="AE135" s="114" t="s">
        <v>553</v>
      </c>
      <c r="AG135" s="114">
        <v>1</v>
      </c>
      <c r="AH135" s="114" t="s">
        <v>553</v>
      </c>
      <c r="AI135" s="114" t="s">
        <v>558</v>
      </c>
    </row>
    <row r="136" spans="1:35">
      <c r="A136" s="119" t="s">
        <v>35</v>
      </c>
      <c r="B136" s="119" t="s">
        <v>36</v>
      </c>
      <c r="C136" s="119" t="s">
        <v>559</v>
      </c>
      <c r="D136" s="119" t="s">
        <v>560</v>
      </c>
      <c r="E136" s="119"/>
      <c r="F136" s="203"/>
      <c r="G136" s="117">
        <v>45999</v>
      </c>
      <c r="H136" s="119"/>
      <c r="I136" s="119"/>
      <c r="J136" s="119"/>
      <c r="K136" s="119"/>
      <c r="L136" s="119"/>
      <c r="M136" s="119"/>
      <c r="N136" s="118" t="s">
        <v>556</v>
      </c>
      <c r="O136" s="119" t="s">
        <v>559</v>
      </c>
      <c r="P136" s="119">
        <v>2.8069999999999999</v>
      </c>
      <c r="Q136" s="152">
        <v>2.8</v>
      </c>
      <c r="R136" s="119">
        <v>1.379</v>
      </c>
      <c r="S136" s="153">
        <v>1.4</v>
      </c>
      <c r="T136" s="119">
        <v>630</v>
      </c>
      <c r="U136" s="119">
        <v>635</v>
      </c>
      <c r="V136" s="119">
        <v>238</v>
      </c>
      <c r="W136" s="119">
        <v>245</v>
      </c>
      <c r="X136" s="119">
        <v>6.16</v>
      </c>
      <c r="Y136" s="119">
        <v>6.08</v>
      </c>
      <c r="Z136" s="129">
        <f t="shared" si="4"/>
        <v>1.013157894736842</v>
      </c>
      <c r="AA136" s="119"/>
      <c r="AB136" s="119"/>
      <c r="AC136" s="114"/>
      <c r="AD136" s="114"/>
      <c r="AE136" s="114"/>
      <c r="AF136" s="119"/>
      <c r="AG136" s="114">
        <v>1</v>
      </c>
      <c r="AH136" s="114" t="s">
        <v>559</v>
      </c>
      <c r="AI136" s="114" t="s">
        <v>561</v>
      </c>
    </row>
    <row r="137" spans="1:35">
      <c r="A137" s="119" t="s">
        <v>35</v>
      </c>
      <c r="B137" s="119" t="s">
        <v>36</v>
      </c>
      <c r="C137" s="119" t="s">
        <v>562</v>
      </c>
      <c r="D137" s="119" t="s">
        <v>563</v>
      </c>
      <c r="F137" s="119" t="s">
        <v>564</v>
      </c>
      <c r="G137" s="117">
        <v>46139</v>
      </c>
      <c r="N137" s="118" t="s">
        <v>565</v>
      </c>
      <c r="O137" s="119" t="s">
        <v>562</v>
      </c>
      <c r="P137" s="128">
        <v>3.5680000000000001</v>
      </c>
      <c r="Q137" s="128">
        <v>3.5</v>
      </c>
      <c r="R137" s="114">
        <v>1.706</v>
      </c>
      <c r="S137" s="132">
        <v>1.71</v>
      </c>
      <c r="T137" s="114">
        <v>764</v>
      </c>
      <c r="U137" s="114">
        <v>780</v>
      </c>
      <c r="V137" s="114">
        <v>260</v>
      </c>
      <c r="W137" s="114">
        <v>257</v>
      </c>
      <c r="X137" s="114">
        <v>6.83</v>
      </c>
      <c r="Y137" s="138">
        <v>6.84</v>
      </c>
      <c r="Z137" s="129">
        <f t="shared" si="4"/>
        <v>0.9985380116959065</v>
      </c>
      <c r="AC137" s="114" t="s">
        <v>557</v>
      </c>
      <c r="AD137" s="116">
        <v>46191</v>
      </c>
      <c r="AE137" s="114" t="s">
        <v>562</v>
      </c>
      <c r="AG137" s="114">
        <v>1</v>
      </c>
      <c r="AH137" s="114" t="s">
        <v>562</v>
      </c>
      <c r="AI137" s="114" t="s">
        <v>566</v>
      </c>
    </row>
    <row r="138" spans="1:35">
      <c r="A138" s="119" t="s">
        <v>35</v>
      </c>
      <c r="B138" s="119" t="s">
        <v>36</v>
      </c>
      <c r="C138" s="119" t="s">
        <v>567</v>
      </c>
      <c r="D138" s="119" t="s">
        <v>568</v>
      </c>
      <c r="F138" s="235" t="s">
        <v>569</v>
      </c>
      <c r="G138" s="236">
        <v>46003</v>
      </c>
      <c r="N138" s="118" t="s">
        <v>570</v>
      </c>
      <c r="O138" s="119" t="s">
        <v>567</v>
      </c>
      <c r="P138" s="118">
        <v>4.0380000000000003</v>
      </c>
      <c r="Q138" s="148">
        <v>4.0999999999999996</v>
      </c>
      <c r="R138" s="118">
        <v>2.0230000000000001</v>
      </c>
      <c r="S138" s="147">
        <v>2.0499999999999998</v>
      </c>
      <c r="T138" s="118">
        <v>934</v>
      </c>
      <c r="U138" s="118">
        <v>945</v>
      </c>
      <c r="V138" s="118">
        <v>423</v>
      </c>
      <c r="W138" s="118">
        <v>435</v>
      </c>
      <c r="X138" s="118">
        <v>6.33</v>
      </c>
      <c r="Y138" s="151">
        <v>5.98</v>
      </c>
      <c r="Z138" s="129">
        <f t="shared" si="4"/>
        <v>1.0585284280936453</v>
      </c>
      <c r="AC138" s="114" t="s">
        <v>557</v>
      </c>
      <c r="AD138" s="116">
        <v>46191</v>
      </c>
      <c r="AE138" s="114" t="s">
        <v>567</v>
      </c>
      <c r="AG138" s="114">
        <v>1</v>
      </c>
      <c r="AH138" s="114" t="s">
        <v>567</v>
      </c>
      <c r="AI138" s="114" t="s">
        <v>571</v>
      </c>
    </row>
    <row r="139" spans="1:35">
      <c r="A139" s="119" t="s">
        <v>35</v>
      </c>
      <c r="B139" s="119" t="s">
        <v>36</v>
      </c>
      <c r="C139" s="119" t="s">
        <v>572</v>
      </c>
      <c r="D139" s="119" t="s">
        <v>573</v>
      </c>
      <c r="F139" s="235" t="s">
        <v>569</v>
      </c>
      <c r="G139" s="236">
        <v>46003</v>
      </c>
      <c r="N139" s="118" t="s">
        <v>574</v>
      </c>
      <c r="O139" s="119" t="s">
        <v>572</v>
      </c>
      <c r="P139" s="118">
        <v>4.0380000000000003</v>
      </c>
      <c r="Q139" s="148">
        <v>4.0999999999999996</v>
      </c>
      <c r="R139" s="118">
        <v>2.0230000000000001</v>
      </c>
      <c r="S139" s="147">
        <v>2.0499999999999998</v>
      </c>
      <c r="T139" s="118">
        <v>934</v>
      </c>
      <c r="U139" s="118">
        <v>940</v>
      </c>
      <c r="V139" s="118">
        <v>423</v>
      </c>
      <c r="W139" s="118">
        <v>435</v>
      </c>
      <c r="X139" s="118">
        <v>6.33</v>
      </c>
      <c r="Y139" s="151">
        <v>6</v>
      </c>
      <c r="Z139" s="129">
        <f t="shared" si="4"/>
        <v>1.0549999999999999</v>
      </c>
      <c r="AC139" s="114" t="s">
        <v>551</v>
      </c>
      <c r="AD139" s="116">
        <v>46387</v>
      </c>
      <c r="AE139" s="114" t="s">
        <v>572</v>
      </c>
      <c r="AG139" s="114">
        <v>1</v>
      </c>
      <c r="AH139" s="114" t="s">
        <v>572</v>
      </c>
      <c r="AI139" s="114" t="s">
        <v>575</v>
      </c>
    </row>
    <row r="140" spans="1:35">
      <c r="A140" s="119" t="s">
        <v>35</v>
      </c>
      <c r="B140" s="119" t="s">
        <v>36</v>
      </c>
      <c r="C140" s="119" t="s">
        <v>576</v>
      </c>
      <c r="D140" s="119" t="s">
        <v>577</v>
      </c>
      <c r="F140" s="235" t="s">
        <v>569</v>
      </c>
      <c r="G140" s="236">
        <v>46003</v>
      </c>
      <c r="N140" s="118" t="s">
        <v>570</v>
      </c>
      <c r="O140" s="119" t="s">
        <v>576</v>
      </c>
      <c r="P140" s="118">
        <v>4.9459999999999997</v>
      </c>
      <c r="Q140" s="148">
        <v>5</v>
      </c>
      <c r="R140" s="118">
        <v>2.4889999999999999</v>
      </c>
      <c r="S140" s="147">
        <v>2.5</v>
      </c>
      <c r="T140" s="118">
        <v>1339</v>
      </c>
      <c r="U140" s="118">
        <v>1350</v>
      </c>
      <c r="V140" s="118">
        <v>333</v>
      </c>
      <c r="W140" s="118">
        <v>364</v>
      </c>
      <c r="X140" s="118">
        <v>5.94</v>
      </c>
      <c r="Y140" s="118">
        <v>5.84</v>
      </c>
      <c r="Z140" s="129">
        <f t="shared" si="4"/>
        <v>1.0171232876712331</v>
      </c>
      <c r="AC140" s="114" t="s">
        <v>557</v>
      </c>
      <c r="AD140" s="116">
        <v>46191</v>
      </c>
      <c r="AE140" s="114" t="s">
        <v>576</v>
      </c>
      <c r="AG140" s="114">
        <v>1</v>
      </c>
      <c r="AH140" s="114" t="s">
        <v>576</v>
      </c>
      <c r="AI140" s="114" t="s">
        <v>578</v>
      </c>
    </row>
    <row r="141" spans="1:35">
      <c r="B141" s="119" t="s">
        <v>36</v>
      </c>
      <c r="C141" s="119" t="s">
        <v>579</v>
      </c>
      <c r="D141" s="119" t="s">
        <v>580</v>
      </c>
      <c r="F141" s="235" t="s">
        <v>569</v>
      </c>
      <c r="G141" s="236">
        <v>46003</v>
      </c>
      <c r="N141" s="118" t="s">
        <v>574</v>
      </c>
      <c r="O141" s="119" t="s">
        <v>579</v>
      </c>
      <c r="P141" s="118">
        <v>4.9459999999999997</v>
      </c>
      <c r="Q141" s="148">
        <v>5</v>
      </c>
      <c r="R141" s="118">
        <v>2.4889999999999999</v>
      </c>
      <c r="S141" s="147">
        <v>2.5</v>
      </c>
      <c r="T141" s="118">
        <v>1339</v>
      </c>
      <c r="U141" s="118">
        <v>1340</v>
      </c>
      <c r="V141" s="118">
        <v>333</v>
      </c>
      <c r="W141" s="118">
        <v>364</v>
      </c>
      <c r="X141" s="118">
        <v>5.94</v>
      </c>
      <c r="Y141" s="118">
        <v>5.85</v>
      </c>
      <c r="Z141" s="129">
        <f t="shared" si="4"/>
        <v>1.0153846153846156</v>
      </c>
      <c r="AC141" s="114" t="s">
        <v>551</v>
      </c>
      <c r="AD141" s="116">
        <v>46387</v>
      </c>
      <c r="AE141" s="114" t="s">
        <v>579</v>
      </c>
      <c r="AG141" s="114">
        <v>1</v>
      </c>
      <c r="AH141" s="114" t="s">
        <v>579</v>
      </c>
      <c r="AI141" s="114" t="s">
        <v>581</v>
      </c>
    </row>
    <row r="142" spans="1:35">
      <c r="A142" s="119" t="s">
        <v>173</v>
      </c>
      <c r="B142" s="119" t="s">
        <v>36</v>
      </c>
      <c r="C142" s="119" t="s">
        <v>582</v>
      </c>
      <c r="D142" s="119" t="s">
        <v>583</v>
      </c>
      <c r="F142" s="202" t="s">
        <v>584</v>
      </c>
      <c r="G142" s="206">
        <v>46062</v>
      </c>
      <c r="N142" s="118" t="s">
        <v>585</v>
      </c>
      <c r="O142" s="119" t="s">
        <v>582</v>
      </c>
      <c r="P142" s="118">
        <v>2.1852999999999998</v>
      </c>
      <c r="Q142" s="154">
        <v>2.2000000000000002</v>
      </c>
      <c r="R142" s="118">
        <v>1.0630999999999999</v>
      </c>
      <c r="S142" s="147">
        <v>1.02</v>
      </c>
      <c r="T142" s="155">
        <v>0.42399999999999999</v>
      </c>
      <c r="U142" s="147">
        <v>0.44</v>
      </c>
      <c r="V142" s="118">
        <v>0.1656</v>
      </c>
      <c r="W142" s="147">
        <v>0.16</v>
      </c>
      <c r="X142" s="118">
        <v>6.91</v>
      </c>
      <c r="Y142" s="118">
        <v>6.82</v>
      </c>
      <c r="Z142" s="129">
        <f t="shared" si="4"/>
        <v>1.0131964809384164</v>
      </c>
      <c r="AC142" s="114" t="s">
        <v>586</v>
      </c>
      <c r="AD142" s="116">
        <v>46557</v>
      </c>
      <c r="AE142" s="114" t="s">
        <v>582</v>
      </c>
      <c r="AG142" s="114" t="s">
        <v>42</v>
      </c>
      <c r="AH142" s="114" t="s">
        <v>582</v>
      </c>
      <c r="AI142" s="114" t="s">
        <v>587</v>
      </c>
    </row>
    <row r="143" spans="1:35">
      <c r="A143" s="119" t="s">
        <v>173</v>
      </c>
      <c r="B143" s="119" t="s">
        <v>36</v>
      </c>
      <c r="C143" s="119" t="s">
        <v>588</v>
      </c>
      <c r="D143" s="119" t="s">
        <v>589</v>
      </c>
      <c r="F143" s="203"/>
      <c r="G143" s="203"/>
      <c r="N143" s="118" t="s">
        <v>585</v>
      </c>
      <c r="O143" s="119" t="s">
        <v>588</v>
      </c>
      <c r="P143" s="155">
        <v>2.7890000000000001</v>
      </c>
      <c r="Q143" s="154">
        <v>2.8</v>
      </c>
      <c r="R143" s="118">
        <v>1.3351</v>
      </c>
      <c r="S143" s="147">
        <v>1.29</v>
      </c>
      <c r="T143" s="118">
        <v>0.60429999999999995</v>
      </c>
      <c r="U143" s="147">
        <v>0.6</v>
      </c>
      <c r="V143" s="155">
        <v>0.216</v>
      </c>
      <c r="W143" s="118">
        <v>0.21199999999999999</v>
      </c>
      <c r="X143" s="118">
        <v>6.52</v>
      </c>
      <c r="Y143" s="118">
        <v>6.47</v>
      </c>
      <c r="Z143" s="129">
        <f t="shared" si="4"/>
        <v>1.0077279752704791</v>
      </c>
      <c r="AC143" s="114" t="s">
        <v>586</v>
      </c>
      <c r="AD143" s="116">
        <v>46557</v>
      </c>
      <c r="AE143" s="114" t="s">
        <v>588</v>
      </c>
      <c r="AG143" s="114">
        <v>1</v>
      </c>
      <c r="AH143" s="114" t="s">
        <v>588</v>
      </c>
      <c r="AI143" s="114" t="s">
        <v>590</v>
      </c>
    </row>
    <row r="144" spans="1:35">
      <c r="A144" s="119" t="s">
        <v>173</v>
      </c>
      <c r="B144" s="119" t="s">
        <v>36</v>
      </c>
      <c r="C144" s="119" t="s">
        <v>591</v>
      </c>
      <c r="D144" s="119" t="s">
        <v>592</v>
      </c>
      <c r="F144" s="119" t="s">
        <v>593</v>
      </c>
      <c r="G144" s="120">
        <v>46066</v>
      </c>
      <c r="N144" s="118" t="s">
        <v>594</v>
      </c>
      <c r="O144" s="119" t="s">
        <v>591</v>
      </c>
      <c r="P144" s="102">
        <v>3.7684000000000002</v>
      </c>
      <c r="Q144" s="156">
        <v>3.5</v>
      </c>
      <c r="R144" s="102">
        <v>1.7854000000000001</v>
      </c>
      <c r="S144" s="157">
        <v>1.71</v>
      </c>
      <c r="T144" s="102">
        <v>0.77890000000000004</v>
      </c>
      <c r="U144" s="157">
        <v>0.78</v>
      </c>
      <c r="V144" s="102">
        <v>0.26290000000000002</v>
      </c>
      <c r="W144" s="157">
        <v>0.26500000000000001</v>
      </c>
      <c r="X144" s="158">
        <v>7.07</v>
      </c>
      <c r="Y144" s="158">
        <v>6.68</v>
      </c>
      <c r="Z144" s="129">
        <f t="shared" si="4"/>
        <v>1.0583832335329342</v>
      </c>
      <c r="AC144" s="114" t="s">
        <v>586</v>
      </c>
      <c r="AD144" s="116">
        <v>46557</v>
      </c>
      <c r="AE144" s="114" t="s">
        <v>591</v>
      </c>
      <c r="AG144" s="114" t="s">
        <v>42</v>
      </c>
      <c r="AH144" s="114" t="s">
        <v>591</v>
      </c>
      <c r="AI144" s="114" t="s">
        <v>595</v>
      </c>
    </row>
    <row r="145" spans="1:38">
      <c r="A145" s="119" t="s">
        <v>173</v>
      </c>
      <c r="B145" s="119" t="s">
        <v>36</v>
      </c>
      <c r="C145" s="119" t="s">
        <v>596</v>
      </c>
      <c r="D145" s="119" t="s">
        <v>597</v>
      </c>
      <c r="F145" s="202" t="s">
        <v>598</v>
      </c>
      <c r="G145" s="206">
        <v>46062</v>
      </c>
      <c r="N145" s="118" t="s">
        <v>599</v>
      </c>
      <c r="O145" s="119" t="s">
        <v>596</v>
      </c>
      <c r="P145" s="102">
        <v>4.2672999999999996</v>
      </c>
      <c r="Q145" s="156">
        <v>4.0999999999999996</v>
      </c>
      <c r="R145" s="159">
        <v>2.0299999999999998</v>
      </c>
      <c r="S145" s="160">
        <v>1.94</v>
      </c>
      <c r="T145" s="102">
        <v>0.98699999999999999</v>
      </c>
      <c r="U145" s="157">
        <v>0.995</v>
      </c>
      <c r="V145" s="159">
        <v>0.29699999999999999</v>
      </c>
      <c r="W145" s="157">
        <v>0.311</v>
      </c>
      <c r="X145" s="158">
        <v>6.89</v>
      </c>
      <c r="Y145" s="158">
        <v>6.37</v>
      </c>
      <c r="Z145" s="129">
        <f t="shared" si="4"/>
        <v>1.0816326530612244</v>
      </c>
      <c r="AC145" s="114" t="s">
        <v>586</v>
      </c>
      <c r="AD145" s="116">
        <v>46557</v>
      </c>
      <c r="AE145" s="114" t="s">
        <v>596</v>
      </c>
      <c r="AG145" s="114" t="s">
        <v>42</v>
      </c>
      <c r="AH145" s="114" t="s">
        <v>596</v>
      </c>
      <c r="AI145" s="114" t="s">
        <v>600</v>
      </c>
    </row>
    <row r="146" spans="1:38">
      <c r="A146" s="119" t="s">
        <v>173</v>
      </c>
      <c r="B146" s="119" t="s">
        <v>36</v>
      </c>
      <c r="C146" s="119" t="s">
        <v>601</v>
      </c>
      <c r="D146" s="119" t="s">
        <v>602</v>
      </c>
      <c r="F146" s="203"/>
      <c r="G146" s="203"/>
      <c r="N146" s="118" t="s">
        <v>599</v>
      </c>
      <c r="O146" s="119" t="s">
        <v>601</v>
      </c>
      <c r="P146" s="114">
        <v>5.1161000000000003</v>
      </c>
      <c r="Q146" s="144">
        <v>5</v>
      </c>
      <c r="R146" s="114">
        <v>2.5213999999999999</v>
      </c>
      <c r="S146" s="128">
        <v>2.41</v>
      </c>
      <c r="T146" s="114">
        <v>1.4007000000000001</v>
      </c>
      <c r="U146" s="132">
        <v>1.37</v>
      </c>
      <c r="V146" s="114">
        <v>0.39329999999999998</v>
      </c>
      <c r="W146" s="132">
        <v>0.40500000000000003</v>
      </c>
      <c r="X146" s="114">
        <v>6.31</v>
      </c>
      <c r="Y146" s="114">
        <v>5.96</v>
      </c>
      <c r="Z146" s="129">
        <f t="shared" si="4"/>
        <v>1.0587248322147651</v>
      </c>
      <c r="AC146" s="114" t="s">
        <v>586</v>
      </c>
      <c r="AD146" s="116">
        <v>46557</v>
      </c>
      <c r="AE146" s="114" t="s">
        <v>601</v>
      </c>
      <c r="AG146" s="114" t="s">
        <v>42</v>
      </c>
      <c r="AH146" s="114" t="s">
        <v>601</v>
      </c>
      <c r="AI146" s="114" t="s">
        <v>603</v>
      </c>
    </row>
    <row r="147" spans="1:38">
      <c r="A147" s="119" t="s">
        <v>173</v>
      </c>
      <c r="B147" s="119" t="s">
        <v>36</v>
      </c>
      <c r="C147" s="119" t="s">
        <v>604</v>
      </c>
      <c r="D147" s="119" t="s">
        <v>605</v>
      </c>
      <c r="F147" s="119" t="s">
        <v>606</v>
      </c>
      <c r="G147" s="120">
        <v>46062</v>
      </c>
      <c r="N147" s="118" t="s">
        <v>607</v>
      </c>
      <c r="O147" s="119" t="s">
        <v>604</v>
      </c>
      <c r="P147" s="114">
        <v>6.3746</v>
      </c>
      <c r="Q147" s="144">
        <v>6</v>
      </c>
      <c r="R147" s="133">
        <v>2.9148999999999998</v>
      </c>
      <c r="S147" s="128">
        <v>2.82</v>
      </c>
      <c r="T147" s="114">
        <v>1.5639000000000001</v>
      </c>
      <c r="U147" s="132">
        <v>1.58</v>
      </c>
      <c r="V147" s="114">
        <v>0.43099999999999999</v>
      </c>
      <c r="W147" s="132">
        <v>0.46</v>
      </c>
      <c r="X147" s="114">
        <v>6.72</v>
      </c>
      <c r="Y147" s="114">
        <v>6.15</v>
      </c>
      <c r="Z147" s="129">
        <f t="shared" si="4"/>
        <v>1.0926829268292682</v>
      </c>
      <c r="AC147" s="114" t="s">
        <v>532</v>
      </c>
      <c r="AD147" s="116">
        <v>46557</v>
      </c>
      <c r="AE147" s="114" t="s">
        <v>604</v>
      </c>
      <c r="AG147" s="114" t="s">
        <v>42</v>
      </c>
      <c r="AH147" s="114" t="s">
        <v>604</v>
      </c>
      <c r="AI147" s="114" t="s">
        <v>608</v>
      </c>
    </row>
    <row r="148" spans="1:38">
      <c r="A148" s="119" t="s">
        <v>173</v>
      </c>
      <c r="B148" s="119" t="s">
        <v>36</v>
      </c>
      <c r="C148" s="119" t="s">
        <v>609</v>
      </c>
      <c r="D148" s="119" t="s">
        <v>610</v>
      </c>
      <c r="F148" s="119" t="s">
        <v>611</v>
      </c>
      <c r="G148" s="120">
        <v>46062</v>
      </c>
      <c r="N148" s="118" t="s">
        <v>612</v>
      </c>
      <c r="O148" s="119" t="s">
        <v>609</v>
      </c>
      <c r="P148" s="114">
        <v>7.524</v>
      </c>
      <c r="Q148" s="144">
        <v>7.2</v>
      </c>
      <c r="R148" s="114">
        <v>3.6457000000000002</v>
      </c>
      <c r="S148" s="128">
        <v>3.5</v>
      </c>
      <c r="T148" s="114">
        <v>1.9736</v>
      </c>
      <c r="U148" s="132">
        <v>2.09</v>
      </c>
      <c r="V148" s="114">
        <v>0.5706</v>
      </c>
      <c r="W148" s="132">
        <v>0.60499999999999998</v>
      </c>
      <c r="X148" s="114">
        <v>6.35</v>
      </c>
      <c r="Y148" s="114">
        <v>5.75</v>
      </c>
      <c r="Z148" s="129">
        <f t="shared" si="4"/>
        <v>1.1043478260869564</v>
      </c>
      <c r="AC148" s="114" t="s">
        <v>532</v>
      </c>
      <c r="AD148" s="116">
        <v>46557</v>
      </c>
      <c r="AE148" s="114" t="s">
        <v>609</v>
      </c>
      <c r="AG148" s="114" t="s">
        <v>42</v>
      </c>
      <c r="AH148" s="114" t="s">
        <v>609</v>
      </c>
      <c r="AI148" s="114" t="s">
        <v>613</v>
      </c>
    </row>
    <row r="149" spans="1:38" ht="16.2">
      <c r="A149" t="s">
        <v>60</v>
      </c>
      <c r="C149" t="s">
        <v>376</v>
      </c>
      <c r="F149" s="183" t="s">
        <v>614</v>
      </c>
      <c r="G149" s="183" t="s">
        <v>615</v>
      </c>
      <c r="AL149" t="s">
        <v>616</v>
      </c>
    </row>
    <row r="150" spans="1:38" ht="16.2">
      <c r="A150" t="s">
        <v>60</v>
      </c>
      <c r="C150" t="s">
        <v>380</v>
      </c>
      <c r="F150" s="183" t="s">
        <v>614</v>
      </c>
      <c r="G150" s="183" t="s">
        <v>615</v>
      </c>
      <c r="AL150" t="s">
        <v>616</v>
      </c>
    </row>
    <row r="152" spans="1:38">
      <c r="C152" s="119"/>
    </row>
    <row r="153" spans="1:38">
      <c r="C153" s="119"/>
    </row>
    <row r="154" spans="1:38">
      <c r="C154" s="119"/>
    </row>
    <row r="155" spans="1:38">
      <c r="C155" s="119"/>
    </row>
    <row r="156" spans="1:38">
      <c r="C156" s="119"/>
    </row>
    <row r="157" spans="1:38">
      <c r="C157" s="119"/>
    </row>
    <row r="158" spans="1:38">
      <c r="C158" s="119"/>
    </row>
    <row r="159" spans="1:38">
      <c r="C159" s="119"/>
    </row>
    <row r="160" spans="1:38">
      <c r="C160" s="119"/>
    </row>
    <row r="229" spans="16:25">
      <c r="P229" s="43"/>
      <c r="Q229" s="43"/>
      <c r="R229" s="43"/>
      <c r="S229" s="161"/>
      <c r="T229" s="43"/>
      <c r="U229" s="161"/>
      <c r="V229" s="43"/>
      <c r="W229" s="161"/>
      <c r="X229" s="162"/>
      <c r="Y229" s="162"/>
    </row>
    <row r="230" spans="16:25">
      <c r="P230" s="43"/>
      <c r="Q230" s="43"/>
      <c r="R230" s="43"/>
      <c r="S230" s="163"/>
      <c r="T230" s="43"/>
      <c r="U230" s="161"/>
      <c r="V230" s="43"/>
      <c r="W230" s="161"/>
      <c r="X230" s="162"/>
      <c r="Y230" s="162"/>
    </row>
    <row r="231" spans="16:25">
      <c r="P231" s="119"/>
      <c r="Q231" s="119"/>
      <c r="R231" s="119"/>
      <c r="S231" s="152"/>
      <c r="T231" s="119"/>
      <c r="U231" s="153"/>
      <c r="V231" s="119"/>
      <c r="W231" s="153"/>
      <c r="X231" s="119"/>
      <c r="Y231" s="119"/>
    </row>
    <row r="232" spans="16:25">
      <c r="P232" s="119"/>
      <c r="Q232" s="119"/>
      <c r="R232" s="164"/>
      <c r="S232" s="152"/>
      <c r="T232" s="119"/>
      <c r="U232" s="153"/>
      <c r="V232" s="119"/>
      <c r="W232" s="153"/>
      <c r="X232" s="119"/>
      <c r="Y232" s="119"/>
    </row>
    <row r="233" spans="16:25">
      <c r="P233" s="119"/>
      <c r="Q233" s="165"/>
      <c r="R233" s="119"/>
      <c r="S233" s="152"/>
      <c r="T233" s="119"/>
      <c r="U233" s="153"/>
      <c r="V233" s="119"/>
      <c r="W233" s="153"/>
      <c r="X233" s="119"/>
      <c r="Y233" s="119"/>
    </row>
    <row r="234" spans="16:25">
      <c r="P234" s="119"/>
      <c r="Q234" s="165"/>
      <c r="R234" s="119"/>
      <c r="S234" s="152"/>
      <c r="T234" s="119"/>
      <c r="U234" s="153"/>
      <c r="V234" s="164"/>
      <c r="W234" s="153"/>
      <c r="X234" s="119"/>
      <c r="Y234" s="44"/>
    </row>
    <row r="235" spans="16:25">
      <c r="P235" s="119"/>
      <c r="Q235" s="119"/>
      <c r="R235" s="119"/>
      <c r="S235" s="152"/>
      <c r="T235" s="119"/>
      <c r="U235" s="153"/>
      <c r="V235" s="119"/>
      <c r="W235" s="153"/>
      <c r="X235" s="119"/>
      <c r="Y235" s="119"/>
    </row>
  </sheetData>
  <autoFilter ref="G1:G235" xr:uid="{00000000-0009-0000-0000-000001000000}"/>
  <mergeCells count="24">
    <mergeCell ref="C1:C2"/>
    <mergeCell ref="E1:E2"/>
    <mergeCell ref="D1:D2"/>
    <mergeCell ref="R1:S1"/>
    <mergeCell ref="O1:O2"/>
    <mergeCell ref="I1:I2"/>
    <mergeCell ref="H1:H2"/>
    <mergeCell ref="J1:J2"/>
    <mergeCell ref="F1:F2"/>
    <mergeCell ref="F135:F136"/>
    <mergeCell ref="AB1:AB2"/>
    <mergeCell ref="G145:G146"/>
    <mergeCell ref="F145:F146"/>
    <mergeCell ref="P1:Q1"/>
    <mergeCell ref="V1:W1"/>
    <mergeCell ref="G142:G143"/>
    <mergeCell ref="G1:G2"/>
    <mergeCell ref="AA1:AA2"/>
    <mergeCell ref="T1:U1"/>
    <mergeCell ref="Z1:Z2"/>
    <mergeCell ref="X1:Y1"/>
    <mergeCell ref="F142:F143"/>
    <mergeCell ref="A1:A2"/>
    <mergeCell ref="B1:B2"/>
  </mergeCells>
  <phoneticPr fontId="5" type="noConversion"/>
  <conditionalFormatting sqref="A1">
    <cfRule type="cellIs" dxfId="148" priority="153" operator="equal">
      <formula>"TERTEC"</formula>
    </cfRule>
    <cfRule type="cellIs" dxfId="147" priority="154" operator="equal">
      <formula>"ETC"</formula>
    </cfRule>
  </conditionalFormatting>
  <conditionalFormatting sqref="E1">
    <cfRule type="cellIs" dxfId="146" priority="152" operator="equal">
      <formula>"✓"</formula>
    </cfRule>
  </conditionalFormatting>
  <conditionalFormatting sqref="AB1">
    <cfRule type="cellIs" dxfId="145" priority="151" operator="equal">
      <formula>"✕"</formula>
    </cfRule>
  </conditionalFormatting>
  <conditionalFormatting sqref="AB3:AB9">
    <cfRule type="cellIs" dxfId="144" priority="138" operator="equal">
      <formula>"✕"</formula>
    </cfRule>
  </conditionalFormatting>
  <conditionalFormatting sqref="E3:E4">
    <cfRule type="cellIs" dxfId="143" priority="137" operator="equal">
      <formula>"✓"</formula>
    </cfRule>
  </conditionalFormatting>
  <conditionalFormatting sqref="E6:E8">
    <cfRule type="cellIs" dxfId="142" priority="136" operator="equal">
      <formula>"✓"</formula>
    </cfRule>
  </conditionalFormatting>
  <conditionalFormatting sqref="F3:F4 F134:F138 F7:F8 F14 F23 F27 F29:F30 F32:F34 F36 F39:F40 F42:F43 F45 F50 F52:F57 F59:F61 F64:F66 F68:F69 F71:F72 F74 F77 F80 F83 F87:F88 F90:F95 F97:F98 F100 F102:F104 F106:F112 F114:F119 F121 F124 F128 F130:F131 F142:F149 F151:F195">
    <cfRule type="expression" dxfId="141" priority="134">
      <formula>AND(G3&lt;&gt;"", G3-TODAY()&lt;90)</formula>
    </cfRule>
    <cfRule type="expression" dxfId="140" priority="135">
      <formula>AND(G3&lt;&gt;"", G3&lt;TODAY())</formula>
    </cfRule>
  </conditionalFormatting>
  <conditionalFormatting sqref="AC3:AC195">
    <cfRule type="expression" dxfId="139" priority="131">
      <formula>AND(AD3&lt;&gt;"", AD3-TODAY()&lt;90)</formula>
    </cfRule>
    <cfRule type="expression" dxfId="138" priority="132">
      <formula>AND(AD3&lt;&gt;"",AD3&lt;TODAY())</formula>
    </cfRule>
  </conditionalFormatting>
  <conditionalFormatting sqref="F132">
    <cfRule type="expression" dxfId="137" priority="129">
      <formula>AND(G132&lt;&gt;"", G132-TODAY()&lt;90)</formula>
    </cfRule>
    <cfRule type="expression" dxfId="136" priority="130">
      <formula>AND(G132&lt;&gt;"", G132&lt;TODAY())</formula>
    </cfRule>
  </conditionalFormatting>
  <conditionalFormatting sqref="F133">
    <cfRule type="expression" dxfId="135" priority="127">
      <formula>AND(G133&lt;&gt;"", G133-TODAY()&lt;90)</formula>
    </cfRule>
    <cfRule type="expression" dxfId="134" priority="128">
      <formula>AND(G133&lt;&gt;"", G133&lt;TODAY())</formula>
    </cfRule>
  </conditionalFormatting>
  <conditionalFormatting sqref="F5">
    <cfRule type="expression" dxfId="123" priority="123">
      <formula>AND(G5&lt;&gt;"", G5-TODAY()&lt;90)</formula>
    </cfRule>
    <cfRule type="expression" dxfId="122" priority="124">
      <formula>AND(G5&lt;&gt;"", G5&lt;TODAY())</formula>
    </cfRule>
  </conditionalFormatting>
  <conditionalFormatting sqref="F6">
    <cfRule type="expression" dxfId="121" priority="121">
      <formula>AND(G6&lt;&gt;"", G6-TODAY()&lt;90)</formula>
    </cfRule>
    <cfRule type="expression" dxfId="120" priority="122">
      <formula>AND(G6&lt;&gt;"", G6&lt;TODAY())</formula>
    </cfRule>
  </conditionalFormatting>
  <conditionalFormatting sqref="F9">
    <cfRule type="expression" dxfId="119" priority="119">
      <formula>AND(G9&lt;&gt;"", G9-TODAY()&lt;90)</formula>
    </cfRule>
    <cfRule type="expression" dxfId="118" priority="120">
      <formula>AND(G9&lt;&gt;"", G9&lt;TODAY())</formula>
    </cfRule>
  </conditionalFormatting>
  <conditionalFormatting sqref="F10">
    <cfRule type="expression" dxfId="117" priority="117">
      <formula>AND(G10&lt;&gt;"", G10-TODAY()&lt;90)</formula>
    </cfRule>
    <cfRule type="expression" dxfId="116" priority="118">
      <formula>AND(G10&lt;&gt;"", G10&lt;TODAY())</formula>
    </cfRule>
  </conditionalFormatting>
  <conditionalFormatting sqref="F11">
    <cfRule type="expression" dxfId="115" priority="115">
      <formula>AND(G11&lt;&gt;"", G11-TODAY()&lt;90)</formula>
    </cfRule>
    <cfRule type="expression" dxfId="114" priority="116">
      <formula>AND(G11&lt;&gt;"", G11&lt;TODAY())</formula>
    </cfRule>
  </conditionalFormatting>
  <conditionalFormatting sqref="F12">
    <cfRule type="expression" dxfId="113" priority="113">
      <formula>AND(G12&lt;&gt;"", G12-TODAY()&lt;90)</formula>
    </cfRule>
    <cfRule type="expression" dxfId="112" priority="114">
      <formula>AND(G12&lt;&gt;"", G12&lt;TODAY())</formula>
    </cfRule>
  </conditionalFormatting>
  <conditionalFormatting sqref="F13">
    <cfRule type="expression" dxfId="111" priority="111">
      <formula>AND(G13&lt;&gt;"", G13-TODAY()&lt;90)</formula>
    </cfRule>
    <cfRule type="expression" dxfId="110" priority="112">
      <formula>AND(G13&lt;&gt;"", G13&lt;TODAY())</formula>
    </cfRule>
  </conditionalFormatting>
  <conditionalFormatting sqref="F15">
    <cfRule type="expression" dxfId="109" priority="109">
      <formula>AND(G15&lt;&gt;"", G15-TODAY()&lt;90)</formula>
    </cfRule>
    <cfRule type="expression" dxfId="108" priority="110">
      <formula>AND(G15&lt;&gt;"", G15&lt;TODAY())</formula>
    </cfRule>
  </conditionalFormatting>
  <conditionalFormatting sqref="F16">
    <cfRule type="expression" dxfId="107" priority="107">
      <formula>AND(G16&lt;&gt;"", G16-TODAY()&lt;90)</formula>
    </cfRule>
    <cfRule type="expression" dxfId="106" priority="108">
      <formula>AND(G16&lt;&gt;"", G16&lt;TODAY())</formula>
    </cfRule>
  </conditionalFormatting>
  <conditionalFormatting sqref="F17">
    <cfRule type="expression" dxfId="105" priority="105">
      <formula>AND(G17&lt;&gt;"", G17-TODAY()&lt;90)</formula>
    </cfRule>
    <cfRule type="expression" dxfId="104" priority="106">
      <formula>AND(G17&lt;&gt;"", G17&lt;TODAY())</formula>
    </cfRule>
  </conditionalFormatting>
  <conditionalFormatting sqref="F18">
    <cfRule type="expression" dxfId="103" priority="103">
      <formula>AND(G18&lt;&gt;"", G18-TODAY()&lt;90)</formula>
    </cfRule>
    <cfRule type="expression" dxfId="102" priority="104">
      <formula>AND(G18&lt;&gt;"", G18&lt;TODAY())</formula>
    </cfRule>
  </conditionalFormatting>
  <conditionalFormatting sqref="F19">
    <cfRule type="expression" dxfId="101" priority="101">
      <formula>AND(G19&lt;&gt;"", G19-TODAY()&lt;90)</formula>
    </cfRule>
    <cfRule type="expression" dxfId="100" priority="102">
      <formula>AND(G19&lt;&gt;"", G19&lt;TODAY())</formula>
    </cfRule>
  </conditionalFormatting>
  <conditionalFormatting sqref="F20">
    <cfRule type="expression" dxfId="99" priority="99">
      <formula>AND(G20&lt;&gt;"", G20-TODAY()&lt;90)</formula>
    </cfRule>
    <cfRule type="expression" dxfId="98" priority="100">
      <formula>AND(G20&lt;&gt;"", G20&lt;TODAY())</formula>
    </cfRule>
  </conditionalFormatting>
  <conditionalFormatting sqref="F21">
    <cfRule type="expression" dxfId="97" priority="97">
      <formula>AND(G21&lt;&gt;"", G21-TODAY()&lt;90)</formula>
    </cfRule>
    <cfRule type="expression" dxfId="96" priority="98">
      <formula>AND(G21&lt;&gt;"", G21&lt;TODAY())</formula>
    </cfRule>
  </conditionalFormatting>
  <conditionalFormatting sqref="F22">
    <cfRule type="expression" dxfId="95" priority="95">
      <formula>AND(G22&lt;&gt;"", G22-TODAY()&lt;90)</formula>
    </cfRule>
    <cfRule type="expression" dxfId="94" priority="96">
      <formula>AND(G22&lt;&gt;"", G22&lt;TODAY())</formula>
    </cfRule>
  </conditionalFormatting>
  <conditionalFormatting sqref="F24">
    <cfRule type="expression" dxfId="93" priority="93">
      <formula>AND(G24&lt;&gt;"", G24-TODAY()&lt;90)</formula>
    </cfRule>
    <cfRule type="expression" dxfId="92" priority="94">
      <formula>AND(G24&lt;&gt;"", G24&lt;TODAY())</formula>
    </cfRule>
  </conditionalFormatting>
  <conditionalFormatting sqref="F25">
    <cfRule type="expression" dxfId="91" priority="91">
      <formula>AND(G25&lt;&gt;"", G25-TODAY()&lt;90)</formula>
    </cfRule>
    <cfRule type="expression" dxfId="90" priority="92">
      <formula>AND(G25&lt;&gt;"", G25&lt;TODAY())</formula>
    </cfRule>
  </conditionalFormatting>
  <conditionalFormatting sqref="F26">
    <cfRule type="expression" dxfId="89" priority="89">
      <formula>AND(G26&lt;&gt;"", G26-TODAY()&lt;90)</formula>
    </cfRule>
    <cfRule type="expression" dxfId="88" priority="90">
      <formula>AND(G26&lt;&gt;"", G26&lt;TODAY())</formula>
    </cfRule>
  </conditionalFormatting>
  <conditionalFormatting sqref="F28">
    <cfRule type="expression" dxfId="87" priority="87">
      <formula>AND(G28&lt;&gt;"", G28-TODAY()&lt;90)</formula>
    </cfRule>
    <cfRule type="expression" dxfId="86" priority="88">
      <formula>AND(G28&lt;&gt;"", G28&lt;TODAY())</formula>
    </cfRule>
  </conditionalFormatting>
  <conditionalFormatting sqref="F31">
    <cfRule type="expression" dxfId="85" priority="85">
      <formula>AND(G31&lt;&gt;"", G31-TODAY()&lt;90)</formula>
    </cfRule>
    <cfRule type="expression" dxfId="84" priority="86">
      <formula>AND(G31&lt;&gt;"", G31&lt;TODAY())</formula>
    </cfRule>
  </conditionalFormatting>
  <conditionalFormatting sqref="F35">
    <cfRule type="expression" dxfId="83" priority="83">
      <formula>AND(G35&lt;&gt;"", G35-TODAY()&lt;90)</formula>
    </cfRule>
    <cfRule type="expression" dxfId="82" priority="84">
      <formula>AND(G35&lt;&gt;"", G35&lt;TODAY())</formula>
    </cfRule>
  </conditionalFormatting>
  <conditionalFormatting sqref="F37">
    <cfRule type="expression" dxfId="81" priority="81">
      <formula>AND(G37&lt;&gt;"", G37-TODAY()&lt;90)</formula>
    </cfRule>
    <cfRule type="expression" dxfId="80" priority="82">
      <formula>AND(G37&lt;&gt;"", G37&lt;TODAY())</formula>
    </cfRule>
  </conditionalFormatting>
  <conditionalFormatting sqref="F38">
    <cfRule type="expression" dxfId="79" priority="79">
      <formula>AND(G38&lt;&gt;"", G38-TODAY()&lt;90)</formula>
    </cfRule>
    <cfRule type="expression" dxfId="78" priority="80">
      <formula>AND(G38&lt;&gt;"", G38&lt;TODAY())</formula>
    </cfRule>
  </conditionalFormatting>
  <conditionalFormatting sqref="F41">
    <cfRule type="expression" dxfId="77" priority="77">
      <formula>AND(G41&lt;&gt;"", G41-TODAY()&lt;90)</formula>
    </cfRule>
    <cfRule type="expression" dxfId="76" priority="78">
      <formula>AND(G41&lt;&gt;"", G41&lt;TODAY())</formula>
    </cfRule>
  </conditionalFormatting>
  <conditionalFormatting sqref="F44">
    <cfRule type="expression" dxfId="75" priority="75">
      <formula>AND(G44&lt;&gt;"", G44-TODAY()&lt;90)</formula>
    </cfRule>
    <cfRule type="expression" dxfId="74" priority="76">
      <formula>AND(G44&lt;&gt;"", G44&lt;TODAY())</formula>
    </cfRule>
  </conditionalFormatting>
  <conditionalFormatting sqref="F46">
    <cfRule type="expression" dxfId="73" priority="73">
      <formula>AND(G46&lt;&gt;"", G46-TODAY()&lt;90)</formula>
    </cfRule>
    <cfRule type="expression" dxfId="72" priority="74">
      <formula>AND(G46&lt;&gt;"", G46&lt;TODAY())</formula>
    </cfRule>
  </conditionalFormatting>
  <conditionalFormatting sqref="F47">
    <cfRule type="expression" dxfId="71" priority="71">
      <formula>AND(G47&lt;&gt;"", G47-TODAY()&lt;90)</formula>
    </cfRule>
    <cfRule type="expression" dxfId="70" priority="72">
      <formula>AND(G47&lt;&gt;"", G47&lt;TODAY())</formula>
    </cfRule>
  </conditionalFormatting>
  <conditionalFormatting sqref="F48">
    <cfRule type="expression" dxfId="69" priority="69">
      <formula>AND(G48&lt;&gt;"", G48-TODAY()&lt;90)</formula>
    </cfRule>
    <cfRule type="expression" dxfId="68" priority="70">
      <formula>AND(G48&lt;&gt;"", G48&lt;TODAY())</formula>
    </cfRule>
  </conditionalFormatting>
  <conditionalFormatting sqref="F49">
    <cfRule type="expression" dxfId="67" priority="67">
      <formula>AND(G49&lt;&gt;"", G49-TODAY()&lt;90)</formula>
    </cfRule>
    <cfRule type="expression" dxfId="66" priority="68">
      <formula>AND(G49&lt;&gt;"", G49&lt;TODAY())</formula>
    </cfRule>
  </conditionalFormatting>
  <conditionalFormatting sqref="F51">
    <cfRule type="expression" dxfId="65" priority="65">
      <formula>AND(G51&lt;&gt;"", G51-TODAY()&lt;90)</formula>
    </cfRule>
    <cfRule type="expression" dxfId="64" priority="66">
      <formula>AND(G51&lt;&gt;"", G51&lt;TODAY())</formula>
    </cfRule>
  </conditionalFormatting>
  <conditionalFormatting sqref="F58">
    <cfRule type="expression" dxfId="63" priority="63">
      <formula>AND(G58&lt;&gt;"", G58-TODAY()&lt;90)</formula>
    </cfRule>
    <cfRule type="expression" dxfId="62" priority="64">
      <formula>AND(G58&lt;&gt;"", G58&lt;TODAY())</formula>
    </cfRule>
  </conditionalFormatting>
  <conditionalFormatting sqref="F62">
    <cfRule type="expression" dxfId="61" priority="61">
      <formula>AND(G62&lt;&gt;"", G62-TODAY()&lt;90)</formula>
    </cfRule>
    <cfRule type="expression" dxfId="60" priority="62">
      <formula>AND(G62&lt;&gt;"", G62&lt;TODAY())</formula>
    </cfRule>
  </conditionalFormatting>
  <conditionalFormatting sqref="F63">
    <cfRule type="expression" dxfId="59" priority="59">
      <formula>AND(G63&lt;&gt;"", G63-TODAY()&lt;90)</formula>
    </cfRule>
    <cfRule type="expression" dxfId="58" priority="60">
      <formula>AND(G63&lt;&gt;"", G63&lt;TODAY())</formula>
    </cfRule>
  </conditionalFormatting>
  <conditionalFormatting sqref="F67">
    <cfRule type="expression" dxfId="57" priority="57">
      <formula>AND(G67&lt;&gt;"", G67-TODAY()&lt;90)</formula>
    </cfRule>
    <cfRule type="expression" dxfId="56" priority="58">
      <formula>AND(G67&lt;&gt;"", G67&lt;TODAY())</formula>
    </cfRule>
  </conditionalFormatting>
  <conditionalFormatting sqref="F70">
    <cfRule type="expression" dxfId="55" priority="55">
      <formula>AND(G70&lt;&gt;"", G70-TODAY()&lt;90)</formula>
    </cfRule>
    <cfRule type="expression" dxfId="54" priority="56">
      <formula>AND(G70&lt;&gt;"", G70&lt;TODAY())</formula>
    </cfRule>
  </conditionalFormatting>
  <conditionalFormatting sqref="F73">
    <cfRule type="expression" dxfId="53" priority="53">
      <formula>AND(G73&lt;&gt;"", G73-TODAY()&lt;90)</formula>
    </cfRule>
    <cfRule type="expression" dxfId="52" priority="54">
      <formula>AND(G73&lt;&gt;"", G73&lt;TODAY())</formula>
    </cfRule>
  </conditionalFormatting>
  <conditionalFormatting sqref="F75">
    <cfRule type="expression" dxfId="51" priority="51">
      <formula>AND(G75&lt;&gt;"", G75-TODAY()&lt;90)</formula>
    </cfRule>
    <cfRule type="expression" dxfId="50" priority="52">
      <formula>AND(G75&lt;&gt;"", G75&lt;TODAY())</formula>
    </cfRule>
  </conditionalFormatting>
  <conditionalFormatting sqref="F76">
    <cfRule type="expression" dxfId="49" priority="49">
      <formula>AND(G76&lt;&gt;"", G76-TODAY()&lt;90)</formula>
    </cfRule>
    <cfRule type="expression" dxfId="48" priority="50">
      <formula>AND(G76&lt;&gt;"", G76&lt;TODAY())</formula>
    </cfRule>
  </conditionalFormatting>
  <conditionalFormatting sqref="F78">
    <cfRule type="expression" dxfId="47" priority="47">
      <formula>AND(G78&lt;&gt;"", G78-TODAY()&lt;90)</formula>
    </cfRule>
    <cfRule type="expression" dxfId="46" priority="48">
      <formula>AND(G78&lt;&gt;"", G78&lt;TODAY())</formula>
    </cfRule>
  </conditionalFormatting>
  <conditionalFormatting sqref="F79">
    <cfRule type="expression" dxfId="45" priority="45">
      <formula>AND(G79&lt;&gt;"", G79-TODAY()&lt;90)</formula>
    </cfRule>
    <cfRule type="expression" dxfId="44" priority="46">
      <formula>AND(G79&lt;&gt;"", G79&lt;TODAY())</formula>
    </cfRule>
  </conditionalFormatting>
  <conditionalFormatting sqref="F81">
    <cfRule type="expression" dxfId="43" priority="43">
      <formula>AND(G81&lt;&gt;"", G81-TODAY()&lt;90)</formula>
    </cfRule>
    <cfRule type="expression" dxfId="42" priority="44">
      <formula>AND(G81&lt;&gt;"", G81&lt;TODAY())</formula>
    </cfRule>
  </conditionalFormatting>
  <conditionalFormatting sqref="F82">
    <cfRule type="expression" dxfId="41" priority="41">
      <formula>AND(G82&lt;&gt;"", G82-TODAY()&lt;90)</formula>
    </cfRule>
    <cfRule type="expression" dxfId="40" priority="42">
      <formula>AND(G82&lt;&gt;"", G82&lt;TODAY())</formula>
    </cfRule>
  </conditionalFormatting>
  <conditionalFormatting sqref="F84">
    <cfRule type="expression" dxfId="39" priority="39">
      <formula>AND(G84&lt;&gt;"", G84-TODAY()&lt;90)</formula>
    </cfRule>
    <cfRule type="expression" dxfId="38" priority="40">
      <formula>AND(G84&lt;&gt;"", G84&lt;TODAY())</formula>
    </cfRule>
  </conditionalFormatting>
  <conditionalFormatting sqref="F85">
    <cfRule type="expression" dxfId="37" priority="37">
      <formula>AND(G85&lt;&gt;"", G85-TODAY()&lt;90)</formula>
    </cfRule>
    <cfRule type="expression" dxfId="36" priority="38">
      <formula>AND(G85&lt;&gt;"", G85&lt;TODAY())</formula>
    </cfRule>
  </conditionalFormatting>
  <conditionalFormatting sqref="F86">
    <cfRule type="expression" dxfId="35" priority="35">
      <formula>AND(G86&lt;&gt;"", G86-TODAY()&lt;90)</formula>
    </cfRule>
    <cfRule type="expression" dxfId="34" priority="36">
      <formula>AND(G86&lt;&gt;"", G86&lt;TODAY())</formula>
    </cfRule>
  </conditionalFormatting>
  <conditionalFormatting sqref="F89">
    <cfRule type="expression" dxfId="33" priority="33">
      <formula>AND(G89&lt;&gt;"", G89-TODAY()&lt;90)</formula>
    </cfRule>
    <cfRule type="expression" dxfId="32" priority="34">
      <formula>AND(G89&lt;&gt;"", G89&lt;TODAY())</formula>
    </cfRule>
  </conditionalFormatting>
  <conditionalFormatting sqref="F96">
    <cfRule type="expression" dxfId="31" priority="31">
      <formula>AND(G96&lt;&gt;"", G96-TODAY()&lt;90)</formula>
    </cfRule>
    <cfRule type="expression" dxfId="30" priority="32">
      <formula>AND(G96&lt;&gt;"", G96&lt;TODAY())</formula>
    </cfRule>
  </conditionalFormatting>
  <conditionalFormatting sqref="F99">
    <cfRule type="expression" dxfId="29" priority="29">
      <formula>AND(G99&lt;&gt;"", G99-TODAY()&lt;90)</formula>
    </cfRule>
    <cfRule type="expression" dxfId="28" priority="30">
      <formula>AND(G99&lt;&gt;"", G99&lt;TODAY())</formula>
    </cfRule>
  </conditionalFormatting>
  <conditionalFormatting sqref="F101">
    <cfRule type="expression" dxfId="27" priority="27">
      <formula>AND(G101&lt;&gt;"", G101-TODAY()&lt;90)</formula>
    </cfRule>
    <cfRule type="expression" dxfId="26" priority="28">
      <formula>AND(G101&lt;&gt;"", G101&lt;TODAY())</formula>
    </cfRule>
  </conditionalFormatting>
  <conditionalFormatting sqref="F105">
    <cfRule type="expression" dxfId="25" priority="25">
      <formula>AND(G105&lt;&gt;"", G105-TODAY()&lt;90)</formula>
    </cfRule>
    <cfRule type="expression" dxfId="24" priority="26">
      <formula>AND(G105&lt;&gt;"", G105&lt;TODAY())</formula>
    </cfRule>
  </conditionalFormatting>
  <conditionalFormatting sqref="F113">
    <cfRule type="expression" dxfId="23" priority="23">
      <formula>AND(G113&lt;&gt;"", G113-TODAY()&lt;90)</formula>
    </cfRule>
    <cfRule type="expression" dxfId="22" priority="24">
      <formula>AND(G113&lt;&gt;"", G113&lt;TODAY())</formula>
    </cfRule>
  </conditionalFormatting>
  <conditionalFormatting sqref="F120">
    <cfRule type="expression" dxfId="21" priority="21">
      <formula>AND(G120&lt;&gt;"", G120-TODAY()&lt;90)</formula>
    </cfRule>
    <cfRule type="expression" dxfId="20" priority="22">
      <formula>AND(G120&lt;&gt;"", G120&lt;TODAY())</formula>
    </cfRule>
  </conditionalFormatting>
  <conditionalFormatting sqref="F122">
    <cfRule type="expression" dxfId="19" priority="19">
      <formula>AND(G122&lt;&gt;"", G122-TODAY()&lt;90)</formula>
    </cfRule>
    <cfRule type="expression" dxfId="18" priority="20">
      <formula>AND(G122&lt;&gt;"", G122&lt;TODAY())</formula>
    </cfRule>
  </conditionalFormatting>
  <conditionalFormatting sqref="F123">
    <cfRule type="expression" dxfId="17" priority="17">
      <formula>AND(G123&lt;&gt;"", G123-TODAY()&lt;90)</formula>
    </cfRule>
    <cfRule type="expression" dxfId="16" priority="18">
      <formula>AND(G123&lt;&gt;"", G123&lt;TODAY())</formula>
    </cfRule>
  </conditionalFormatting>
  <conditionalFormatting sqref="F125">
    <cfRule type="expression" dxfId="15" priority="15">
      <formula>AND(G125&lt;&gt;"", G125-TODAY()&lt;90)</formula>
    </cfRule>
    <cfRule type="expression" dxfId="14" priority="16">
      <formula>AND(G125&lt;&gt;"", G125&lt;TODAY())</formula>
    </cfRule>
  </conditionalFormatting>
  <conditionalFormatting sqref="F126">
    <cfRule type="expression" dxfId="13" priority="13">
      <formula>AND(G126&lt;&gt;"", G126-TODAY()&lt;90)</formula>
    </cfRule>
    <cfRule type="expression" dxfId="12" priority="14">
      <formula>AND(G126&lt;&gt;"", G126&lt;TODAY())</formula>
    </cfRule>
  </conditionalFormatting>
  <conditionalFormatting sqref="F127">
    <cfRule type="expression" dxfId="11" priority="11">
      <formula>AND(G127&lt;&gt;"", G127-TODAY()&lt;90)</formula>
    </cfRule>
    <cfRule type="expression" dxfId="10" priority="12">
      <formula>AND(G127&lt;&gt;"", G127&lt;TODAY())</formula>
    </cfRule>
  </conditionalFormatting>
  <conditionalFormatting sqref="F129">
    <cfRule type="expression" dxfId="9" priority="9">
      <formula>AND(G129&lt;&gt;"", G129-TODAY()&lt;90)</formula>
    </cfRule>
    <cfRule type="expression" dxfId="8" priority="10">
      <formula>AND(G129&lt;&gt;"", G129&lt;TODAY())</formula>
    </cfRule>
  </conditionalFormatting>
  <conditionalFormatting sqref="F139">
    <cfRule type="expression" dxfId="7" priority="7">
      <formula>AND(G139&lt;&gt;"", G139-TODAY()&lt;90)</formula>
    </cfRule>
    <cfRule type="expression" dxfId="6" priority="8">
      <formula>AND(G139&lt;&gt;"", G139&lt;TODAY())</formula>
    </cfRule>
  </conditionalFormatting>
  <conditionalFormatting sqref="F140">
    <cfRule type="expression" dxfId="5" priority="5">
      <formula>AND(G140&lt;&gt;"", G140-TODAY()&lt;90)</formula>
    </cfRule>
    <cfRule type="expression" dxfId="4" priority="6">
      <formula>AND(G140&lt;&gt;"", G140&lt;TODAY())</formula>
    </cfRule>
  </conditionalFormatting>
  <conditionalFormatting sqref="F141">
    <cfRule type="expression" dxfId="3" priority="3">
      <formula>AND(G141&lt;&gt;"", G141-TODAY()&lt;90)</formula>
    </cfRule>
    <cfRule type="expression" dxfId="2" priority="4">
      <formula>AND(G141&lt;&gt;"", G141&lt;TODAY())</formula>
    </cfRule>
  </conditionalFormatting>
  <conditionalFormatting sqref="F150">
    <cfRule type="expression" dxfId="1" priority="1">
      <formula>AND(G150&lt;&gt;"", G150-TODAY()&lt;90)</formula>
    </cfRule>
    <cfRule type="expression" dxfId="0" priority="2">
      <formula>AND(G150&lt;&gt;"", G150&lt;TODAY())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AL93"/>
  <sheetViews>
    <sheetView workbookViewId="0">
      <pane ySplit="2" topLeftCell="A3" activePane="bottomLeft" state="frozen"/>
      <selection activeCell="E1" sqref="E1"/>
      <selection pane="bottomLeft" activeCell="J16" sqref="J16"/>
    </sheetView>
  </sheetViews>
  <sheetFormatPr defaultColWidth="9" defaultRowHeight="16.2"/>
  <cols>
    <col min="1" max="2" width="9" style="38" customWidth="1"/>
    <col min="3" max="3" width="16.77734375" style="113" bestFit="1" customWidth="1"/>
    <col min="4" max="4" width="13.6640625" style="113" bestFit="1" customWidth="1"/>
    <col min="5" max="5" width="9" style="38" customWidth="1"/>
    <col min="6" max="6" width="22.109375" style="113" bestFit="1" customWidth="1"/>
    <col min="7" max="7" width="12.21875" style="113" bestFit="1" customWidth="1"/>
    <col min="8" max="13" width="9" style="38" customWidth="1"/>
    <col min="14" max="14" width="14.109375" style="113" bestFit="1" customWidth="1"/>
    <col min="15" max="15" width="15.44140625" style="38" bestFit="1" customWidth="1"/>
    <col min="16" max="49" width="9" style="38" customWidth="1"/>
    <col min="50" max="16384" width="9" style="38"/>
  </cols>
  <sheetData>
    <row r="1" spans="1:37" ht="28.2" customHeight="1" thickBot="1">
      <c r="A1" s="214" t="s">
        <v>7</v>
      </c>
      <c r="B1" s="215" t="s">
        <v>8</v>
      </c>
      <c r="C1" s="214" t="s">
        <v>9</v>
      </c>
      <c r="D1" s="214" t="s">
        <v>10</v>
      </c>
      <c r="E1" s="215" t="s">
        <v>11</v>
      </c>
      <c r="F1" s="214" t="s">
        <v>12</v>
      </c>
      <c r="G1" s="214" t="s">
        <v>13</v>
      </c>
      <c r="H1" s="219" t="s">
        <v>14</v>
      </c>
      <c r="I1" s="217" t="s">
        <v>15</v>
      </c>
      <c r="J1" s="220" t="s">
        <v>16</v>
      </c>
      <c r="K1" s="19" t="s">
        <v>17</v>
      </c>
      <c r="L1" s="19" t="s">
        <v>17</v>
      </c>
      <c r="M1" s="19" t="s">
        <v>17</v>
      </c>
      <c r="N1" s="25" t="s">
        <v>18</v>
      </c>
      <c r="O1" s="221" t="s">
        <v>9</v>
      </c>
      <c r="P1" s="216" t="s">
        <v>617</v>
      </c>
      <c r="Q1" s="205"/>
      <c r="R1" s="216" t="s">
        <v>618</v>
      </c>
      <c r="S1" s="205"/>
      <c r="T1" s="216" t="s">
        <v>619</v>
      </c>
      <c r="U1" s="205"/>
      <c r="V1" s="216" t="s">
        <v>620</v>
      </c>
      <c r="W1" s="205"/>
      <c r="X1" s="218" t="s">
        <v>23</v>
      </c>
      <c r="Y1" s="205"/>
      <c r="Z1" s="215" t="s">
        <v>621</v>
      </c>
      <c r="AA1" s="215" t="s">
        <v>25</v>
      </c>
      <c r="AB1" s="215" t="s">
        <v>26</v>
      </c>
      <c r="AC1" s="21" t="s">
        <v>27</v>
      </c>
      <c r="AD1" s="21" t="s">
        <v>28</v>
      </c>
      <c r="AE1" s="166" t="s">
        <v>16</v>
      </c>
      <c r="AF1" s="166" t="s">
        <v>3</v>
      </c>
      <c r="AG1" s="24" t="s">
        <v>29</v>
      </c>
      <c r="AH1" s="23" t="s">
        <v>622</v>
      </c>
      <c r="AI1" s="22" t="s">
        <v>623</v>
      </c>
      <c r="AJ1" s="22" t="s">
        <v>624</v>
      </c>
      <c r="AK1" s="22" t="s">
        <v>625</v>
      </c>
    </row>
    <row r="2" spans="1:37" ht="16.95" customHeight="1">
      <c r="A2" s="199"/>
      <c r="B2" s="199"/>
      <c r="C2" s="199"/>
      <c r="D2" s="199"/>
      <c r="E2" s="199"/>
      <c r="F2" s="199"/>
      <c r="G2" s="199"/>
      <c r="H2" s="199"/>
      <c r="I2" s="213"/>
      <c r="J2" s="201"/>
      <c r="M2" s="167"/>
      <c r="N2" s="26" t="s">
        <v>31</v>
      </c>
      <c r="O2" s="199"/>
      <c r="P2" s="27" t="s">
        <v>32</v>
      </c>
      <c r="Q2" s="27" t="s">
        <v>33</v>
      </c>
      <c r="R2" s="27" t="s">
        <v>32</v>
      </c>
      <c r="S2" s="27" t="s">
        <v>33</v>
      </c>
      <c r="T2" s="27" t="s">
        <v>32</v>
      </c>
      <c r="U2" s="27" t="s">
        <v>33</v>
      </c>
      <c r="V2" s="27" t="s">
        <v>32</v>
      </c>
      <c r="W2" s="27" t="s">
        <v>33</v>
      </c>
      <c r="X2" s="27" t="s">
        <v>32</v>
      </c>
      <c r="Y2" s="27" t="s">
        <v>33</v>
      </c>
      <c r="Z2" s="199"/>
      <c r="AA2" s="199"/>
      <c r="AB2" s="199"/>
      <c r="AE2" s="167"/>
      <c r="AF2" s="167"/>
    </row>
    <row r="3" spans="1:37" ht="27.6" customHeight="1">
      <c r="A3" s="1"/>
      <c r="B3" s="2"/>
      <c r="C3" s="3"/>
      <c r="D3" s="4"/>
      <c r="E3" s="5"/>
      <c r="F3" s="32"/>
      <c r="G3" s="32"/>
      <c r="H3" s="168"/>
      <c r="I3" s="15"/>
      <c r="J3" s="169"/>
      <c r="K3" s="168"/>
      <c r="L3" s="168"/>
      <c r="M3" s="168"/>
      <c r="N3" s="5"/>
      <c r="O3" s="5"/>
      <c r="P3" s="6"/>
      <c r="Q3" s="6"/>
      <c r="R3" s="6"/>
      <c r="S3" s="6"/>
      <c r="T3" s="6"/>
      <c r="U3" s="6"/>
      <c r="V3" s="6"/>
      <c r="W3" s="6"/>
      <c r="X3" s="170"/>
      <c r="Y3" s="170"/>
      <c r="Z3" s="7"/>
      <c r="AA3" s="7"/>
      <c r="AB3" s="7"/>
      <c r="AC3" s="5"/>
      <c r="AD3" s="32"/>
      <c r="AE3" s="168"/>
      <c r="AF3" s="168"/>
      <c r="AG3" s="4"/>
      <c r="AH3" s="8"/>
      <c r="AI3" s="9"/>
      <c r="AJ3" s="31"/>
      <c r="AK3" s="31"/>
    </row>
    <row r="4" spans="1:37" ht="16.95" customHeight="1">
      <c r="A4" s="1"/>
      <c r="B4" s="16"/>
      <c r="C4" s="20"/>
      <c r="D4" s="4"/>
      <c r="E4" s="16"/>
      <c r="F4" s="32"/>
      <c r="G4" s="115"/>
      <c r="H4" s="16"/>
      <c r="I4" s="16"/>
      <c r="J4" s="14"/>
      <c r="K4" s="16"/>
      <c r="L4" s="16"/>
      <c r="M4" s="16"/>
      <c r="N4" s="16"/>
      <c r="O4" s="16"/>
      <c r="P4" s="6"/>
      <c r="Q4" s="6"/>
      <c r="R4" s="6"/>
      <c r="S4" s="6"/>
      <c r="T4" s="6"/>
      <c r="U4" s="6"/>
      <c r="V4" s="6"/>
      <c r="W4" s="6"/>
      <c r="X4" s="170"/>
      <c r="Y4" s="170"/>
      <c r="Z4" s="7"/>
      <c r="AA4" s="7"/>
      <c r="AB4" s="7"/>
      <c r="AC4" s="16"/>
      <c r="AD4" s="16"/>
      <c r="AE4" s="16"/>
      <c r="AF4" s="16"/>
      <c r="AG4" s="4"/>
      <c r="AH4" s="16"/>
      <c r="AI4" s="31"/>
      <c r="AJ4" s="31"/>
      <c r="AK4" s="31"/>
    </row>
    <row r="5" spans="1:37" ht="17.399999999999999" customHeight="1">
      <c r="A5" s="1"/>
      <c r="B5" s="16"/>
      <c r="C5" s="11"/>
      <c r="D5" s="4"/>
      <c r="E5" s="10"/>
      <c r="F5" s="32"/>
      <c r="G5" s="171"/>
      <c r="H5" s="172"/>
      <c r="I5" s="17"/>
      <c r="J5" s="172"/>
      <c r="K5" s="172"/>
      <c r="L5" s="172"/>
      <c r="M5" s="172"/>
      <c r="N5" s="1"/>
      <c r="O5" s="1"/>
      <c r="P5" s="1"/>
      <c r="Q5" s="1"/>
      <c r="R5" s="1"/>
      <c r="S5" s="1"/>
      <c r="T5" s="1"/>
      <c r="U5" s="1"/>
      <c r="V5" s="1"/>
      <c r="W5" s="1"/>
      <c r="X5" s="10"/>
      <c r="Y5" s="10"/>
      <c r="Z5" s="10"/>
      <c r="AA5" s="10"/>
      <c r="AB5" s="10"/>
      <c r="AC5" s="16"/>
      <c r="AD5" s="16"/>
      <c r="AE5" s="16"/>
      <c r="AF5" s="16"/>
      <c r="AG5" s="4"/>
      <c r="AH5" s="8"/>
      <c r="AI5" s="31"/>
      <c r="AJ5" s="31"/>
      <c r="AK5" s="31"/>
    </row>
    <row r="6" spans="1:37" ht="16.95" customHeight="1">
      <c r="A6" s="1"/>
      <c r="B6" s="16"/>
      <c r="C6" s="4"/>
      <c r="D6" s="4"/>
      <c r="E6" s="4"/>
      <c r="F6" s="32"/>
      <c r="G6" s="173"/>
      <c r="H6" s="168"/>
      <c r="I6" s="18"/>
      <c r="J6" s="169"/>
      <c r="K6" s="168"/>
      <c r="L6" s="168"/>
      <c r="M6" s="168"/>
      <c r="N6" s="4"/>
      <c r="O6" s="4"/>
      <c r="P6" s="1"/>
      <c r="Q6" s="1"/>
      <c r="R6" s="1"/>
      <c r="S6" s="1"/>
      <c r="T6" s="1"/>
      <c r="U6" s="1"/>
      <c r="V6" s="1"/>
      <c r="W6" s="1"/>
      <c r="X6" s="10"/>
      <c r="Y6" s="10"/>
      <c r="Z6" s="10"/>
      <c r="AA6" s="10"/>
      <c r="AB6" s="10"/>
      <c r="AC6" s="16"/>
      <c r="AD6" s="16"/>
      <c r="AE6" s="16"/>
      <c r="AF6" s="16"/>
      <c r="AG6" s="11"/>
      <c r="AH6" s="8"/>
      <c r="AI6" s="31"/>
      <c r="AJ6" s="31"/>
      <c r="AK6" s="31"/>
    </row>
    <row r="7" spans="1:37" ht="16.95" customHeight="1">
      <c r="A7" s="1"/>
      <c r="B7" s="16"/>
      <c r="C7" s="4"/>
      <c r="D7" s="4"/>
      <c r="E7" s="16"/>
      <c r="F7" s="32"/>
      <c r="G7" s="31"/>
      <c r="H7" s="16"/>
      <c r="I7" s="16"/>
      <c r="J7" s="14"/>
      <c r="K7" s="16"/>
      <c r="L7" s="16"/>
      <c r="M7" s="16"/>
      <c r="N7" s="16"/>
      <c r="O7" s="16"/>
      <c r="P7" s="1"/>
      <c r="Q7" s="1"/>
      <c r="R7" s="1"/>
      <c r="S7" s="1"/>
      <c r="T7" s="1"/>
      <c r="U7" s="1"/>
      <c r="V7" s="1"/>
      <c r="W7" s="1"/>
      <c r="X7" s="10"/>
      <c r="Y7" s="10"/>
      <c r="Z7" s="10"/>
      <c r="AA7" s="10"/>
      <c r="AB7" s="10"/>
      <c r="AC7" s="16"/>
      <c r="AD7" s="16"/>
      <c r="AE7" s="16"/>
      <c r="AF7" s="16"/>
      <c r="AG7" s="11"/>
      <c r="AH7" s="16"/>
      <c r="AI7" s="31"/>
      <c r="AJ7" s="31"/>
      <c r="AK7" s="31"/>
    </row>
    <row r="8" spans="1:37" ht="17.399999999999999" customHeight="1">
      <c r="A8" s="1"/>
      <c r="B8" s="16"/>
      <c r="C8" s="4"/>
      <c r="D8" s="4"/>
      <c r="E8" s="10"/>
      <c r="F8" s="32"/>
      <c r="G8" s="16"/>
      <c r="H8" s="172"/>
      <c r="I8" s="18"/>
      <c r="J8" s="172"/>
      <c r="K8" s="172"/>
      <c r="L8" s="172"/>
      <c r="M8" s="172"/>
      <c r="N8" s="4"/>
      <c r="O8" s="4"/>
      <c r="P8" s="4"/>
      <c r="Q8" s="4"/>
      <c r="R8" s="4"/>
      <c r="S8" s="4"/>
      <c r="T8" s="4"/>
      <c r="U8" s="4"/>
      <c r="V8" s="4"/>
      <c r="W8" s="4"/>
      <c r="X8" s="10"/>
      <c r="Y8" s="12"/>
      <c r="Z8" s="10"/>
      <c r="AA8" s="10"/>
      <c r="AB8" s="10"/>
      <c r="AC8" s="5"/>
      <c r="AD8" s="13"/>
      <c r="AE8" s="174"/>
      <c r="AF8" s="174"/>
      <c r="AG8" s="11"/>
      <c r="AH8" s="8"/>
      <c r="AI8" s="9"/>
      <c r="AJ8" s="31"/>
      <c r="AK8" s="31"/>
    </row>
    <row r="9" spans="1:37" ht="17.399999999999999" customHeight="1">
      <c r="A9" s="1"/>
      <c r="B9" s="16"/>
      <c r="C9" s="4"/>
      <c r="D9" s="4"/>
      <c r="E9" s="10"/>
      <c r="F9" s="32"/>
      <c r="G9" s="115"/>
      <c r="H9" s="172"/>
      <c r="I9" s="17"/>
      <c r="J9" s="172"/>
      <c r="K9" s="172"/>
      <c r="L9" s="172"/>
      <c r="M9" s="172"/>
      <c r="N9" s="1"/>
      <c r="O9" s="1"/>
      <c r="P9" s="1"/>
      <c r="Q9" s="1"/>
      <c r="R9" s="1"/>
      <c r="S9" s="1"/>
      <c r="T9" s="1"/>
      <c r="U9" s="1"/>
      <c r="V9" s="1"/>
      <c r="W9" s="1"/>
      <c r="X9" s="10"/>
      <c r="Y9" s="10"/>
      <c r="Z9" s="10"/>
      <c r="AA9" s="10"/>
      <c r="AB9" s="10"/>
      <c r="AC9" s="16"/>
      <c r="AD9" s="16"/>
      <c r="AE9" s="16"/>
      <c r="AF9" s="16"/>
      <c r="AG9" s="10"/>
      <c r="AH9" s="8"/>
      <c r="AI9" s="31"/>
      <c r="AJ9" s="31"/>
      <c r="AK9" s="31"/>
    </row>
    <row r="10" spans="1:37" ht="16.95" customHeight="1">
      <c r="A10" s="1"/>
      <c r="B10" s="16"/>
      <c r="C10" s="4"/>
      <c r="D10" s="4"/>
      <c r="E10" s="4"/>
      <c r="F10" s="32"/>
      <c r="G10" s="173"/>
      <c r="H10" s="168"/>
      <c r="I10" s="18"/>
      <c r="J10" s="169"/>
      <c r="K10" s="168"/>
      <c r="L10" s="168"/>
      <c r="M10" s="168"/>
      <c r="N10" s="4"/>
      <c r="O10" s="4"/>
      <c r="P10" s="1"/>
      <c r="Q10" s="1"/>
      <c r="R10" s="1"/>
      <c r="S10" s="1"/>
      <c r="T10" s="1"/>
      <c r="U10" s="1"/>
      <c r="V10" s="1"/>
      <c r="W10" s="1"/>
      <c r="X10" s="10"/>
      <c r="Y10" s="10"/>
      <c r="Z10" s="10"/>
      <c r="AA10" s="10"/>
      <c r="AB10" s="10"/>
      <c r="AC10" s="16"/>
      <c r="AD10" s="16"/>
      <c r="AE10" s="16"/>
      <c r="AF10" s="16"/>
      <c r="AG10" s="10"/>
      <c r="AH10" s="8"/>
      <c r="AI10" s="31"/>
      <c r="AJ10" s="31"/>
      <c r="AK10" s="31"/>
    </row>
    <row r="11" spans="1:37" ht="16.95" customHeight="1">
      <c r="A11" s="1"/>
      <c r="B11" s="16"/>
      <c r="C11" s="4"/>
      <c r="D11" s="4"/>
      <c r="E11" s="16"/>
      <c r="F11" s="32"/>
      <c r="G11" s="16"/>
      <c r="H11" s="16"/>
      <c r="I11" s="16"/>
      <c r="J11" s="14"/>
      <c r="K11" s="16"/>
      <c r="L11" s="16"/>
      <c r="M11" s="16"/>
      <c r="N11" s="16"/>
      <c r="O11" s="16"/>
      <c r="P11" s="1"/>
      <c r="Q11" s="1"/>
      <c r="R11" s="1"/>
      <c r="S11" s="1"/>
      <c r="T11" s="1"/>
      <c r="U11" s="1"/>
      <c r="V11" s="1"/>
      <c r="W11" s="1"/>
      <c r="X11" s="10"/>
      <c r="Y11" s="10"/>
      <c r="Z11" s="10"/>
      <c r="AA11" s="10"/>
      <c r="AB11" s="10"/>
      <c r="AC11" s="16"/>
      <c r="AD11" s="16"/>
      <c r="AE11" s="16"/>
      <c r="AF11" s="16"/>
      <c r="AG11" s="10"/>
      <c r="AH11" s="16"/>
      <c r="AI11" s="31"/>
      <c r="AJ11" s="31"/>
      <c r="AK11" s="31"/>
    </row>
    <row r="12" spans="1:37">
      <c r="C12" s="38"/>
      <c r="D12" s="38"/>
      <c r="F12" s="38"/>
      <c r="G12" s="38"/>
    </row>
    <row r="13" spans="1:37">
      <c r="C13" s="38"/>
      <c r="D13" s="38"/>
    </row>
    <row r="14" spans="1:37">
      <c r="C14" s="38"/>
      <c r="D14" s="38"/>
      <c r="F14" s="38"/>
      <c r="G14" s="38"/>
    </row>
    <row r="15" spans="1:37">
      <c r="C15" s="38"/>
      <c r="D15" s="38"/>
      <c r="F15" s="38"/>
      <c r="G15" s="38"/>
    </row>
    <row r="16" spans="1:37">
      <c r="C16" s="38"/>
      <c r="D16" s="38"/>
    </row>
    <row r="17" spans="3:7">
      <c r="C17" s="38"/>
      <c r="D17" s="38"/>
    </row>
    <row r="18" spans="3:7">
      <c r="C18" s="38"/>
      <c r="D18" s="38"/>
      <c r="F18" s="38"/>
      <c r="G18" s="38"/>
    </row>
    <row r="19" spans="3:7">
      <c r="C19" s="38"/>
      <c r="D19" s="38"/>
      <c r="F19" s="38"/>
      <c r="G19" s="38"/>
    </row>
    <row r="20" spans="3:7">
      <c r="C20" s="38"/>
      <c r="D20" s="38"/>
    </row>
    <row r="21" spans="3:7">
      <c r="C21" s="38"/>
      <c r="D21" s="38"/>
      <c r="F21" s="38"/>
      <c r="G21" s="38"/>
    </row>
    <row r="22" spans="3:7">
      <c r="C22" s="38"/>
      <c r="D22" s="38"/>
      <c r="F22" s="38"/>
      <c r="G22" s="38"/>
    </row>
    <row r="23" spans="3:7">
      <c r="C23" s="38"/>
      <c r="D23" s="38"/>
    </row>
    <row r="24" spans="3:7">
      <c r="C24" s="38"/>
      <c r="D24" s="38"/>
    </row>
    <row r="25" spans="3:7">
      <c r="C25" s="38"/>
      <c r="D25" s="38"/>
      <c r="F25" s="38"/>
      <c r="G25" s="38"/>
    </row>
    <row r="26" spans="3:7">
      <c r="C26" s="38"/>
      <c r="D26" s="38"/>
      <c r="F26" s="38"/>
      <c r="G26" s="38"/>
    </row>
    <row r="27" spans="3:7">
      <c r="C27" s="38"/>
      <c r="D27" s="38"/>
    </row>
    <row r="28" spans="3:7">
      <c r="C28" s="38"/>
      <c r="D28" s="38"/>
      <c r="F28" s="38"/>
      <c r="G28" s="38"/>
    </row>
    <row r="29" spans="3:7">
      <c r="C29" s="38"/>
      <c r="D29" s="38"/>
      <c r="F29" s="38"/>
      <c r="G29" s="38"/>
    </row>
    <row r="30" spans="3:7">
      <c r="C30" s="38"/>
      <c r="D30" s="38"/>
    </row>
    <row r="31" spans="3:7">
      <c r="C31" s="38"/>
      <c r="D31" s="38"/>
    </row>
    <row r="32" spans="3:7">
      <c r="C32" s="38"/>
      <c r="D32" s="38"/>
      <c r="F32" s="38"/>
      <c r="G32" s="38"/>
    </row>
    <row r="33" spans="3:20">
      <c r="C33" s="38"/>
      <c r="F33" s="38"/>
      <c r="G33" s="38"/>
    </row>
    <row r="34" spans="3:20">
      <c r="C34" s="38"/>
      <c r="D34" s="38"/>
      <c r="F34" s="38"/>
      <c r="G34" s="38"/>
    </row>
    <row r="35" spans="3:20">
      <c r="C35" s="38"/>
      <c r="D35" s="38"/>
    </row>
    <row r="36" spans="3:20">
      <c r="C36" s="38"/>
      <c r="D36" s="38"/>
      <c r="F36" s="38"/>
      <c r="G36" s="38"/>
    </row>
    <row r="37" spans="3:20">
      <c r="C37" s="38"/>
      <c r="D37" s="38"/>
    </row>
    <row r="38" spans="3:20">
      <c r="C38" s="38"/>
      <c r="D38" s="38"/>
    </row>
    <row r="39" spans="3:20">
      <c r="C39" s="38"/>
      <c r="D39" s="38"/>
      <c r="F39" s="38"/>
      <c r="G39" s="38"/>
    </row>
    <row r="40" spans="3:20">
      <c r="C40" s="38"/>
      <c r="D40" s="38"/>
      <c r="F40" s="38"/>
      <c r="G40" s="38"/>
      <c r="N40" s="38"/>
      <c r="T40" s="175"/>
    </row>
    <row r="41" spans="3:20">
      <c r="C41" s="38"/>
      <c r="F41" s="38"/>
      <c r="G41" s="38"/>
    </row>
    <row r="42" spans="3:20">
      <c r="C42" s="38"/>
      <c r="D42" s="38"/>
      <c r="F42" s="38"/>
      <c r="G42" s="38"/>
      <c r="N42" s="38"/>
    </row>
    <row r="43" spans="3:20">
      <c r="C43" s="38"/>
      <c r="D43" s="38"/>
    </row>
    <row r="44" spans="3:20">
      <c r="C44" s="38"/>
      <c r="F44" s="38"/>
      <c r="G44" s="38"/>
      <c r="N44" s="38"/>
    </row>
    <row r="45" spans="3:20">
      <c r="C45" s="38"/>
      <c r="D45" s="38"/>
      <c r="F45" s="38"/>
      <c r="G45" s="38"/>
    </row>
    <row r="46" spans="3:20">
      <c r="C46" s="38"/>
      <c r="F46" s="38"/>
      <c r="G46" s="38"/>
    </row>
    <row r="47" spans="3:20">
      <c r="C47" s="38"/>
      <c r="D47" s="38"/>
      <c r="F47" s="38"/>
      <c r="G47" s="38"/>
    </row>
    <row r="48" spans="3:20">
      <c r="C48" s="38"/>
      <c r="D48" s="38"/>
    </row>
    <row r="49" spans="3:38">
      <c r="C49" s="38"/>
      <c r="F49" s="38"/>
      <c r="G49" s="38"/>
    </row>
    <row r="50" spans="3:38">
      <c r="C50" s="38"/>
      <c r="D50" s="38"/>
      <c r="F50" s="38"/>
      <c r="G50" s="38"/>
    </row>
    <row r="51" spans="3:38">
      <c r="C51" s="38"/>
      <c r="F51" s="38"/>
      <c r="G51" s="38"/>
      <c r="AL51" s="38" t="s">
        <v>231</v>
      </c>
    </row>
    <row r="52" spans="3:38">
      <c r="C52" s="38"/>
      <c r="D52" s="38"/>
      <c r="F52" s="38"/>
      <c r="G52" s="38"/>
      <c r="AL52" s="38" t="s">
        <v>238</v>
      </c>
    </row>
    <row r="53" spans="3:38" ht="16.95" customHeight="1">
      <c r="C53" s="38"/>
      <c r="F53" s="38"/>
      <c r="G53" s="38"/>
      <c r="AL53" s="38" t="s">
        <v>243</v>
      </c>
    </row>
    <row r="54" spans="3:38">
      <c r="N54" s="38"/>
      <c r="P54" s="37"/>
      <c r="Q54" s="28"/>
      <c r="R54" s="29"/>
      <c r="S54" s="28"/>
      <c r="T54" s="29"/>
      <c r="U54" s="28"/>
      <c r="V54" s="37"/>
      <c r="W54" s="37"/>
      <c r="X54" s="29"/>
      <c r="Y54" s="30"/>
      <c r="AL54" s="38" t="s">
        <v>249</v>
      </c>
    </row>
    <row r="55" spans="3:38">
      <c r="N55" s="38"/>
      <c r="P55" s="29"/>
      <c r="Q55" s="28"/>
      <c r="R55" s="28"/>
      <c r="S55" s="28"/>
      <c r="T55" s="30"/>
      <c r="U55" s="30"/>
      <c r="V55" s="37"/>
      <c r="W55" s="37"/>
      <c r="X55" s="28"/>
      <c r="Y55" s="30"/>
    </row>
    <row r="56" spans="3:38">
      <c r="N56" s="38"/>
      <c r="P56" s="28"/>
      <c r="Q56" s="37"/>
      <c r="R56" s="28"/>
      <c r="S56" s="28"/>
      <c r="T56" s="28"/>
      <c r="U56" s="28"/>
      <c r="V56" s="29"/>
      <c r="W56" s="28"/>
      <c r="X56" s="28"/>
      <c r="Y56" s="30"/>
    </row>
    <row r="57" spans="3:38" ht="16.95" customHeight="1">
      <c r="N57" s="38"/>
      <c r="P57" s="28"/>
      <c r="Q57" s="29"/>
      <c r="R57" s="30"/>
      <c r="S57" s="30"/>
      <c r="T57" s="30"/>
      <c r="U57" s="30"/>
      <c r="V57" s="37"/>
      <c r="W57" s="37"/>
      <c r="X57" s="28"/>
      <c r="Y57" s="30"/>
    </row>
    <row r="58" spans="3:38" ht="16.95" customHeight="1">
      <c r="N58" s="38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3:38">
      <c r="N59" s="38"/>
      <c r="P59" s="176"/>
      <c r="Q59" s="177"/>
      <c r="R59" s="37"/>
      <c r="S59" s="176"/>
      <c r="T59" s="37"/>
      <c r="U59" s="37"/>
      <c r="V59" s="37"/>
      <c r="W59" s="37"/>
      <c r="X59" s="37"/>
      <c r="Y59" s="30"/>
    </row>
    <row r="60" spans="3:38">
      <c r="N60" s="38"/>
      <c r="P60" s="176"/>
      <c r="Q60" s="177"/>
      <c r="R60" s="37"/>
      <c r="S60" s="176"/>
      <c r="T60" s="37"/>
      <c r="U60" s="37"/>
      <c r="V60" s="37"/>
      <c r="W60" s="37"/>
      <c r="X60" s="37"/>
      <c r="Y60" s="30"/>
    </row>
    <row r="61" spans="3:38">
      <c r="N61" s="38"/>
      <c r="P61" s="176"/>
      <c r="Q61" s="177"/>
      <c r="R61" s="37"/>
      <c r="S61" s="176"/>
      <c r="T61" s="37"/>
      <c r="U61" s="37"/>
      <c r="V61" s="37"/>
      <c r="W61" s="37"/>
      <c r="X61" s="37"/>
      <c r="Y61" s="30"/>
    </row>
    <row r="62" spans="3:38" ht="16.95" customHeight="1">
      <c r="N62" s="38"/>
      <c r="P62" s="176"/>
      <c r="Q62" s="177"/>
      <c r="R62" s="37"/>
      <c r="S62" s="176"/>
      <c r="T62" s="37"/>
      <c r="U62" s="37"/>
      <c r="V62" s="37"/>
      <c r="W62" s="37"/>
      <c r="X62" s="37"/>
      <c r="Y62" s="30"/>
    </row>
    <row r="63" spans="3:38">
      <c r="N63" s="38"/>
    </row>
    <row r="64" spans="3:38">
      <c r="N64" s="38"/>
    </row>
    <row r="65" spans="14:14">
      <c r="N65" s="38"/>
    </row>
    <row r="66" spans="14:14">
      <c r="N66" s="38"/>
    </row>
    <row r="67" spans="14:14">
      <c r="N67" s="38"/>
    </row>
    <row r="68" spans="14:14">
      <c r="N68" s="38"/>
    </row>
    <row r="69" spans="14:14">
      <c r="N69" s="38"/>
    </row>
    <row r="70" spans="14:14">
      <c r="N70" s="38"/>
    </row>
    <row r="71" spans="14:14">
      <c r="N71" s="38"/>
    </row>
    <row r="72" spans="14:14">
      <c r="N72" s="38"/>
    </row>
    <row r="73" spans="14:14">
      <c r="N73" s="38"/>
    </row>
    <row r="74" spans="14:14">
      <c r="N74" s="38"/>
    </row>
    <row r="75" spans="14:14">
      <c r="N75" s="38"/>
    </row>
    <row r="76" spans="14:14">
      <c r="N76" s="38"/>
    </row>
    <row r="77" spans="14:14">
      <c r="N77" s="38"/>
    </row>
    <row r="78" spans="14:14">
      <c r="N78" s="38"/>
    </row>
    <row r="79" spans="14:14">
      <c r="N79" s="38"/>
    </row>
    <row r="80" spans="14:14">
      <c r="N80" s="38"/>
    </row>
    <row r="81" spans="14:14">
      <c r="N81" s="38"/>
    </row>
    <row r="82" spans="14:14">
      <c r="N82" s="38"/>
    </row>
    <row r="83" spans="14:14">
      <c r="N83" s="38"/>
    </row>
    <row r="84" spans="14:14">
      <c r="N84" s="38"/>
    </row>
    <row r="85" spans="14:14">
      <c r="N85" s="38"/>
    </row>
    <row r="86" spans="14:14">
      <c r="N86" s="38"/>
    </row>
    <row r="87" spans="14:14">
      <c r="N87" s="38"/>
    </row>
    <row r="88" spans="14:14">
      <c r="N88" s="38"/>
    </row>
    <row r="89" spans="14:14">
      <c r="N89" s="38"/>
    </row>
    <row r="90" spans="14:14">
      <c r="N90" s="38"/>
    </row>
    <row r="91" spans="14:14">
      <c r="N91" s="38"/>
    </row>
    <row r="92" spans="14:14">
      <c r="N92" s="38"/>
    </row>
    <row r="93" spans="14:14">
      <c r="N93" s="38"/>
    </row>
  </sheetData>
  <mergeCells count="19">
    <mergeCell ref="AB1:AB2"/>
    <mergeCell ref="J1:J2"/>
    <mergeCell ref="P1:Q1"/>
    <mergeCell ref="C1:C2"/>
    <mergeCell ref="E1:E2"/>
    <mergeCell ref="O1:O2"/>
    <mergeCell ref="V1:W1"/>
    <mergeCell ref="AA1:AA2"/>
    <mergeCell ref="A1:A2"/>
    <mergeCell ref="B1:B2"/>
    <mergeCell ref="T1:U1"/>
    <mergeCell ref="G1:G2"/>
    <mergeCell ref="Z1:Z2"/>
    <mergeCell ref="I1:I2"/>
    <mergeCell ref="X1:Y1"/>
    <mergeCell ref="D1:D2"/>
    <mergeCell ref="F1:F2"/>
    <mergeCell ref="H1:H2"/>
    <mergeCell ref="R1:S1"/>
  </mergeCells>
  <phoneticPr fontId="5" type="noConversion"/>
  <conditionalFormatting sqref="A1 A3:A11">
    <cfRule type="cellIs" dxfId="133" priority="13" operator="equal">
      <formula>"TERTEC"</formula>
    </cfRule>
    <cfRule type="cellIs" dxfId="132" priority="14" operator="equal">
      <formula>"ETC"</formula>
    </cfRule>
  </conditionalFormatting>
  <conditionalFormatting sqref="E1">
    <cfRule type="cellIs" dxfId="131" priority="12" operator="equal">
      <formula>"✓"</formula>
    </cfRule>
  </conditionalFormatting>
  <conditionalFormatting sqref="AB1 AB3:AB11">
    <cfRule type="cellIs" dxfId="130" priority="11" operator="equal">
      <formula>"✕"</formula>
    </cfRule>
  </conditionalFormatting>
  <conditionalFormatting sqref="E3:E6">
    <cfRule type="cellIs" dxfId="129" priority="8" operator="equal">
      <formula>"✓"</formula>
    </cfRule>
  </conditionalFormatting>
  <conditionalFormatting sqref="E8:E10">
    <cfRule type="cellIs" dxfId="128" priority="3" operator="equal">
      <formula>"✓"</formula>
    </cfRule>
  </conditionalFormatting>
  <conditionalFormatting sqref="AC3">
    <cfRule type="expression" dxfId="127" priority="6">
      <formula>TODAY()&gt;$AD3</formula>
    </cfRule>
    <cfRule type="expression" dxfId="126" priority="7">
      <formula>$AD3-60&lt;=TODAY()</formula>
    </cfRule>
  </conditionalFormatting>
  <conditionalFormatting sqref="AC8">
    <cfRule type="expression" dxfId="125" priority="9">
      <formula>TODAY()&gt;$AD8</formula>
    </cfRule>
    <cfRule type="expression" dxfId="124" priority="10">
      <formula>$AD8-60&lt;=TODAY()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I15"/>
  <sheetViews>
    <sheetView showGridLines="0" topLeftCell="A4" workbookViewId="0">
      <selection activeCell="D27" sqref="D27"/>
    </sheetView>
  </sheetViews>
  <sheetFormatPr defaultRowHeight="16.2"/>
  <cols>
    <col min="1" max="1" width="26" style="113" customWidth="1"/>
    <col min="2" max="2" width="14" style="113" customWidth="1"/>
    <col min="3" max="3" width="10" style="113" customWidth="1"/>
    <col min="4" max="4" width="8" style="113" customWidth="1"/>
    <col min="5" max="5" width="2" style="113" customWidth="1"/>
    <col min="6" max="6" width="26" style="113" customWidth="1"/>
    <col min="7" max="7" width="14" style="113" customWidth="1"/>
    <col min="8" max="8" width="10" style="113" customWidth="1"/>
    <col min="9" max="9" width="8" style="113" customWidth="1"/>
  </cols>
  <sheetData>
    <row r="1" spans="1:9" ht="27.9" customHeight="1">
      <c r="A1" s="222" t="s">
        <v>626</v>
      </c>
      <c r="B1" s="185"/>
      <c r="C1" s="185"/>
      <c r="D1" s="185"/>
      <c r="F1" s="223" t="s">
        <v>627</v>
      </c>
      <c r="G1" s="185"/>
      <c r="H1" s="185"/>
      <c r="I1" s="185"/>
    </row>
    <row r="2" spans="1:9">
      <c r="A2" s="48" t="s">
        <v>1</v>
      </c>
      <c r="B2" s="48" t="s">
        <v>2</v>
      </c>
      <c r="C2" s="48" t="s">
        <v>3</v>
      </c>
      <c r="D2" s="48" t="s">
        <v>8</v>
      </c>
      <c r="F2" s="49" t="s">
        <v>1</v>
      </c>
      <c r="G2" s="49" t="s">
        <v>2</v>
      </c>
      <c r="H2" s="49" t="s">
        <v>3</v>
      </c>
      <c r="I2" s="49" t="s">
        <v>8</v>
      </c>
    </row>
    <row r="3" spans="1:9">
      <c r="A3" s="50" t="s">
        <v>206</v>
      </c>
      <c r="B3" s="178">
        <v>46187</v>
      </c>
      <c r="C3" s="38">
        <v>23</v>
      </c>
      <c r="D3" s="38" t="s">
        <v>74</v>
      </c>
      <c r="F3" s="38">
        <v>1110286</v>
      </c>
      <c r="G3" s="178">
        <v>46165</v>
      </c>
      <c r="H3" s="38">
        <v>1</v>
      </c>
      <c r="I3" s="38" t="s">
        <v>82</v>
      </c>
    </row>
    <row r="4" spans="1:9">
      <c r="A4" s="38" t="s">
        <v>213</v>
      </c>
      <c r="B4" s="178">
        <v>46192</v>
      </c>
      <c r="C4" s="38">
        <v>28</v>
      </c>
      <c r="D4" s="38" t="s">
        <v>74</v>
      </c>
      <c r="G4" s="178"/>
    </row>
    <row r="5" spans="1:9">
      <c r="A5" s="38" t="s">
        <v>267</v>
      </c>
      <c r="B5" s="178">
        <v>46227</v>
      </c>
      <c r="C5" s="38">
        <v>63</v>
      </c>
      <c r="D5" s="38" t="s">
        <v>78</v>
      </c>
      <c r="G5" s="178"/>
    </row>
    <row r="6" spans="1:9">
      <c r="A6" s="38" t="s">
        <v>279</v>
      </c>
      <c r="B6" s="178">
        <v>46195</v>
      </c>
      <c r="C6" s="38">
        <v>31</v>
      </c>
      <c r="D6" s="38" t="s">
        <v>78</v>
      </c>
    </row>
    <row r="7" spans="1:9">
      <c r="A7" s="38" t="s">
        <v>473</v>
      </c>
      <c r="B7" s="178">
        <v>46235</v>
      </c>
      <c r="C7" s="38">
        <v>71</v>
      </c>
      <c r="D7" s="38" t="s">
        <v>82</v>
      </c>
    </row>
    <row r="8" spans="1:9">
      <c r="A8" s="38" t="s">
        <v>480</v>
      </c>
      <c r="B8" s="178">
        <v>46241</v>
      </c>
      <c r="C8" s="38">
        <v>77</v>
      </c>
      <c r="D8" s="38" t="s">
        <v>82</v>
      </c>
    </row>
    <row r="9" spans="1:9">
      <c r="B9" s="178"/>
    </row>
    <row r="10" spans="1:9">
      <c r="B10" s="178"/>
    </row>
    <row r="11" spans="1:9">
      <c r="B11" s="178"/>
    </row>
    <row r="12" spans="1:9">
      <c r="B12" s="178"/>
    </row>
    <row r="13" spans="1:9">
      <c r="B13" s="178"/>
    </row>
    <row r="14" spans="1:9">
      <c r="B14" s="178"/>
    </row>
    <row r="15" spans="1:9">
      <c r="B15" s="178"/>
    </row>
  </sheetData>
  <mergeCells count="2">
    <mergeCell ref="A1:D1"/>
    <mergeCell ref="F1:I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1:N55"/>
  <sheetViews>
    <sheetView topLeftCell="A32" workbookViewId="0">
      <selection activeCell="N36" sqref="N36"/>
    </sheetView>
  </sheetViews>
  <sheetFormatPr defaultRowHeight="16.2"/>
  <cols>
    <col min="1" max="1" width="14" style="113" customWidth="1"/>
    <col min="2" max="2" width="16" style="113" customWidth="1"/>
    <col min="3" max="3" width="2" style="113" customWidth="1"/>
    <col min="4" max="4" width="14" style="113" customWidth="1"/>
    <col min="5" max="5" width="16" style="113" customWidth="1"/>
    <col min="6" max="6" width="2" style="113" customWidth="1"/>
    <col min="7" max="7" width="18" style="113" customWidth="1"/>
    <col min="8" max="11" width="12" style="113" customWidth="1"/>
  </cols>
  <sheetData>
    <row r="1" spans="1:11" ht="27.9" customHeight="1">
      <c r="A1" s="224" t="s">
        <v>628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3" spans="1:11">
      <c r="A3" s="228" t="s">
        <v>629</v>
      </c>
      <c r="B3" s="185"/>
      <c r="D3" s="227" t="s">
        <v>630</v>
      </c>
      <c r="E3" s="185"/>
    </row>
    <row r="4" spans="1:11">
      <c r="A4" s="51" t="s">
        <v>8</v>
      </c>
      <c r="B4" s="51" t="s">
        <v>631</v>
      </c>
      <c r="D4" s="52" t="s">
        <v>8</v>
      </c>
      <c r="E4" s="52" t="s">
        <v>631</v>
      </c>
    </row>
    <row r="5" spans="1:11" ht="21.9" customHeight="1">
      <c r="A5" s="53" t="s">
        <v>36</v>
      </c>
      <c r="B5" s="54">
        <f ca="1">SUMPRODUCT((工作表1!B$3:B$131="RA")*(工作表1!G$3:G$131&gt;=TODAY())*(工作表1!F$3:F$131&lt;&gt;"")/IF(COUNTIFS(工作表1!B$3:B$131,"RA",工作表1!F$3:F$131,工作表1!F$3:F$131)=0,1,COUNTIFS(工作表1!B$3:B$131,"RA",工作表1!F$3:F$131,工作表1!F$3:F$131)))</f>
        <v>14.000000000000007</v>
      </c>
      <c r="D5" s="53" t="s">
        <v>36</v>
      </c>
      <c r="E5" s="54">
        <f t="array" aca="1" ref="E5" ca="1">SUM(--(FREQUENCY(IF((工作表1!B$3:B$195="RA")*(工作表1!AD$3:AD$195&gt;=TODAY())*(工作表1!AC$3:AC$195&lt;&gt;""),MATCH(工作表1!AC$3:AC$195,工作表1!AC$3:AC$195,0)),ROW(工作表1!AC$3:AC$195)-ROW(工作表1!AC$3)+1)&gt;0))</f>
        <v>12</v>
      </c>
    </row>
    <row r="6" spans="1:11" ht="21.9" customHeight="1">
      <c r="A6" s="55" t="s">
        <v>74</v>
      </c>
      <c r="B6" s="54">
        <f ca="1">SUMPRODUCT((工作表1!B$3:B$131="MA")*(工作表1!G$3:G$131&gt;=TODAY())*(工作表1!F$3:F$131&lt;&gt;"")/IF(COUNTIFS(工作表1!B$3:B$131,"MA",工作表1!F$3:F$131,工作表1!F$3:F$131)=0,1,COUNTIFS(工作表1!B$3:B$131,"MA",工作表1!F$3:F$131,工作表1!F$3:F$131)))</f>
        <v>11</v>
      </c>
      <c r="D6" s="55" t="s">
        <v>74</v>
      </c>
      <c r="E6" s="54">
        <f t="array" aca="1" ref="E6" ca="1">SUMPRODUCT((工作表1!B$3:B$195="MA")*(工作表1!AD$3:AD$195&gt;=TODAY())*(工作表1!AC$3:AC$195&lt;&gt;"")/IF(COUNTIFS(工作表1!B$3:B$195,"MA",工作表1!AC$3:AC$195,工作表1!AC$3:AC$195)=0,1,COUNTIFS(工作表1!B$3:B$195,"MA",工作表1!AC$3:AC$195,工作表1!AC$3:AC$195)))</f>
        <v>3</v>
      </c>
    </row>
    <row r="7" spans="1:11" ht="21.9" customHeight="1">
      <c r="A7" s="56" t="s">
        <v>78</v>
      </c>
      <c r="B7" s="54">
        <f ca="1">SUMPRODUCT((工作表1!B$3:B$131="SA")*(工作表1!G$3:G$131&gt;=TODAY())*(工作表1!F$3:F$131&lt;&gt;"")/IF(COUNTIFS(工作表1!B$3:B$131,"SA",工作表1!F$3:F$131,工作表1!F$3:F$131)=0,1,COUNTIFS(工作表1!B$3:B$131,"SA",工作表1!F$3:F$131,工作表1!F$3:F$131)))</f>
        <v>24</v>
      </c>
      <c r="D7" s="56" t="s">
        <v>78</v>
      </c>
      <c r="E7" s="54">
        <f t="array" aca="1" ref="E7" ca="1">SUMPRODUCT((工作表1!B$3:B$195="SA")*(工作表1!AD$3:AD$195&gt;=TODAY())*(工作表1!AC$3:AC$195&lt;&gt;"")/IF(COUNTIFS(工作表1!B$3:B$195,"SA",工作表1!AC$3:AC$195,工作表1!AC$3:AC$195)=0,1,COUNTIFS(工作表1!B$3:B$195,"SA",工作表1!AC$3:AC$195,工作表1!AC$3:AC$195)))</f>
        <v>6.0000000000000018</v>
      </c>
    </row>
    <row r="8" spans="1:11" ht="21.9" customHeight="1">
      <c r="A8" s="57" t="s">
        <v>82</v>
      </c>
      <c r="B8" s="54">
        <f ca="1">SUMPRODUCT((工作表1!B$3:B$131="VRV")*(工作表1!G$3:G$131&gt;=TODAY())*(工作表1!F$3:F$131&lt;&gt;"")/IF(COUNTIFS(工作表1!B$3:B$131,"VRV",工作表1!F$3:F$131,工作表1!F$3:F$131)=0,1,COUNTIFS(工作表1!B$3:B$131,"VRV",工作表1!F$3:F$131,工作表1!F$3:F$131)))</f>
        <v>45</v>
      </c>
      <c r="D8" s="57" t="s">
        <v>82</v>
      </c>
      <c r="E8" s="54">
        <f t="array" aca="1" ref="E8" ca="1">SUMPRODUCT((工作表1!B$3:B$195="VRV")*(工作表1!AD$3:AD$195&gt;=TODAY())*(工作表1!AC$3:AC$195&lt;&gt;"")/IF(COUNTIFS(工作表1!B$3:B$195,"VRV",工作表1!AC$3:AC$195,工作表1!AC$3:AC$195)=0,1,COUNTIFS(工作表1!B$3:B$195,"VRV",工作表1!AC$3:AC$195,工作表1!AC$3:AC$195)))</f>
        <v>11</v>
      </c>
    </row>
    <row r="9" spans="1:11">
      <c r="A9" s="58" t="s">
        <v>632</v>
      </c>
      <c r="B9" s="59">
        <f ca="1">SUMPRODUCT((工作表1!G$3:G$131&gt;=TODAY())*(工作表1!F$3:F$131&lt;&gt;"")/COUNTIF(工作表1!F$3:F$131,工作表1!F$3:F$131&amp;""))</f>
        <v>66.000000000000014</v>
      </c>
      <c r="D9" s="60" t="s">
        <v>632</v>
      </c>
      <c r="E9" s="61">
        <f ca="1">SUMPRODUCT((工作表1!AD$3:AD$195&gt;=TODAY())*(工作表1!AC$3:AC$195&lt;&gt;"")/COUNTIF(工作表1!AC$3:AC$195,工作表1!AC$3:AC$195&amp;""))</f>
        <v>30.999999999999989</v>
      </c>
    </row>
    <row r="11" spans="1:11">
      <c r="A11" s="228" t="s">
        <v>633</v>
      </c>
      <c r="B11" s="185"/>
      <c r="C11" s="185"/>
      <c r="D11" s="185"/>
      <c r="E11" s="185"/>
    </row>
    <row r="12" spans="1:11">
      <c r="A12" s="51" t="s">
        <v>634</v>
      </c>
      <c r="B12" s="91" t="s">
        <v>635</v>
      </c>
      <c r="D12" s="92" t="s">
        <v>636</v>
      </c>
    </row>
    <row r="13" spans="1:11" ht="21.9" customHeight="1">
      <c r="A13" s="62" t="str">
        <f ca="1">IF(MONTH(EDATE(DATE(YEAR(TODAY()),IF(MONTH(TODAY())&lt;=6,1,7),1),0))&lt;=6,TEXT(YEAR(EDATE(DATE(YEAR(TODAY()),IF(MONTH(TODAY())&lt;=6,1,7),1),0)),"0000")&amp;"上半",TEXT(YEAR(EDATE(DATE(YEAR(TODAY()),IF(MONTH(TODAY())&lt;=6,1,7),1),0)),"0000")&amp;"下半")</f>
        <v>2026上半</v>
      </c>
      <c r="B13" s="63">
        <f ca="1">COUNTIFS(工作表1!G$3:G$131,"&gt;="&amp;EDATE(DATE(YEAR(TODAY()),IF(MONTH(TODAY())&lt;=6,1,7),1),0),工作表1!G$3:G$131,"&lt;="&amp;(EDATE(DATE(YEAR(TODAY()),IF(MONTH(TODAY())&lt;=6,1,7),1),6)-1))</f>
        <v>14</v>
      </c>
      <c r="D13" s="64">
        <f ca="1">COUNTIFS(工作表1!AD$3:AD$131,"&gt;="&amp;EDATE(DATE(YEAR(TODAY()),IF(MONTH(TODAY())&lt;=6,1,7),1),0),工作表1!AD$3:AD$131,"&lt;="&amp;(EDATE(DATE(YEAR(TODAY()),IF(MONTH(TODAY())&lt;=6,1,7),1),6)-1))</f>
        <v>11</v>
      </c>
    </row>
    <row r="14" spans="1:11" ht="21.9" customHeight="1">
      <c r="A14" s="62" t="str">
        <f ca="1">IF(MONTH(EDATE(DATE(YEAR(TODAY()),IF(MONTH(TODAY())&lt;=6,1,7),1),6))&lt;=6,TEXT(YEAR(EDATE(DATE(YEAR(TODAY()),IF(MONTH(TODAY())&lt;=6,1,7),1),6)),"0000")&amp;"上半",TEXT(YEAR(EDATE(DATE(YEAR(TODAY()),IF(MONTH(TODAY())&lt;=6,1,7),1),6)),"0000")&amp;"下半")</f>
        <v>2026下半</v>
      </c>
      <c r="B14" s="63">
        <f ca="1">COUNTIFS(工作表1!G$3:G$131,"&gt;="&amp;EDATE(DATE(YEAR(TODAY()),IF(MONTH(TODAY())&lt;=6,1,7),1),6),工作表1!G$3:G$131,"&lt;="&amp;(EDATE(DATE(YEAR(TODAY()),IF(MONTH(TODAY())&lt;=6,1,7),1),12)-1))</f>
        <v>12</v>
      </c>
      <c r="D14" s="64">
        <f ca="1">COUNTIFS(工作表1!AD$3:AD$131,"&gt;="&amp;EDATE(DATE(YEAR(TODAY()),IF(MONTH(TODAY())&lt;=6,1,7),1),6),工作表1!AD$3:AD$131,"&lt;="&amp;(EDATE(DATE(YEAR(TODAY()),IF(MONTH(TODAY())&lt;=6,1,7),1),12)-1))</f>
        <v>28</v>
      </c>
    </row>
    <row r="15" spans="1:11" ht="21.9" customHeight="1">
      <c r="A15" s="62" t="str">
        <f ca="1">IF(MONTH(EDATE(DATE(YEAR(TODAY()),IF(MONTH(TODAY())&lt;=6,1,7),1),12))&lt;=6,TEXT(YEAR(EDATE(DATE(YEAR(TODAY()),IF(MONTH(TODAY())&lt;=6,1,7),1),12)),"0000")&amp;"上半",TEXT(YEAR(EDATE(DATE(YEAR(TODAY()),IF(MONTH(TODAY())&lt;=6,1,7),1),12)),"0000")&amp;"下半")</f>
        <v>2027上半</v>
      </c>
      <c r="B15" s="63">
        <f ca="1">COUNTIFS(工作表1!G$3:G$131,"&gt;="&amp;EDATE(DATE(YEAR(TODAY()),IF(MONTH(TODAY())&lt;=6,1,7),1),12),工作表1!G$3:G$131,"&lt;="&amp;(EDATE(DATE(YEAR(TODAY()),IF(MONTH(TODAY())&lt;=6,1,7),1),18)-1))</f>
        <v>27</v>
      </c>
      <c r="D15" s="64">
        <f ca="1">COUNTIFS(工作表1!AD$3:AD$131,"&gt;="&amp;EDATE(DATE(YEAR(TODAY()),IF(MONTH(TODAY())&lt;=6,1,7),1),12),工作表1!AD$3:AD$131,"&lt;="&amp;(EDATE(DATE(YEAR(TODAY()),IF(MONTH(TODAY())&lt;=6,1,7),1),18)-1))</f>
        <v>26</v>
      </c>
    </row>
    <row r="16" spans="1:11" ht="21.9" customHeight="1">
      <c r="A16" s="62" t="str">
        <f ca="1">IF(MONTH(EDATE(DATE(YEAR(TODAY()),IF(MONTH(TODAY())&lt;=6,1,7),1),18))&lt;=6,TEXT(YEAR(EDATE(DATE(YEAR(TODAY()),IF(MONTH(TODAY())&lt;=6,1,7),1),18)),"0000")&amp;"上半",TEXT(YEAR(EDATE(DATE(YEAR(TODAY()),IF(MONTH(TODAY())&lt;=6,1,7),1),18)),"0000")&amp;"下半")</f>
        <v>2027下半</v>
      </c>
      <c r="B16" s="63">
        <f ca="1">COUNTIFS(工作表1!G$3:G$131,"&gt;="&amp;EDATE(DATE(YEAR(TODAY()),IF(MONTH(TODAY())&lt;=6,1,7),1),18),工作表1!G$3:G$131,"&lt;="&amp;(EDATE(DATE(YEAR(TODAY()),IF(MONTH(TODAY())&lt;=6,1,7),1),24)-1))</f>
        <v>16</v>
      </c>
      <c r="D16" s="64">
        <f ca="1">COUNTIFS(工作表1!AD$3:AD$131,"&gt;="&amp;EDATE(DATE(YEAR(TODAY()),IF(MONTH(TODAY())&lt;=6,1,7),1),18),工作表1!AD$3:AD$131,"&lt;="&amp;(EDATE(DATE(YEAR(TODAY()),IF(MONTH(TODAY())&lt;=6,1,7),1),24)-1))</f>
        <v>18</v>
      </c>
    </row>
    <row r="17" spans="1:14" ht="21.9" customHeight="1">
      <c r="A17" s="62" t="str">
        <f ca="1">IF(MONTH(EDATE(DATE(YEAR(TODAY()),IF(MONTH(TODAY())&lt;=6,1,7),1),24))&lt;=6,TEXT(YEAR(EDATE(DATE(YEAR(TODAY()),IF(MONTH(TODAY())&lt;=6,1,7),1),24)),"0000")&amp;"上半",TEXT(YEAR(EDATE(DATE(YEAR(TODAY()),IF(MONTH(TODAY())&lt;=6,1,7),1),24)),"0000")&amp;"下半")</f>
        <v>2028上半</v>
      </c>
      <c r="B17" s="63">
        <f ca="1">COUNTIFS(工作表1!G$3:G$131,"&gt;="&amp;EDATE(DATE(YEAR(TODAY()),IF(MONTH(TODAY())&lt;=6,1,7),1),24),工作表1!G$3:G$131,"&lt;="&amp;(EDATE(DATE(YEAR(TODAY()),IF(MONTH(TODAY())&lt;=6,1,7),1),30)-1))</f>
        <v>7</v>
      </c>
      <c r="D17" s="64">
        <f ca="1">COUNTIFS(工作表1!AD$3:AD$131,"&gt;="&amp;EDATE(DATE(YEAR(TODAY()),IF(MONTH(TODAY())&lt;=6,1,7),1),24),工作表1!AD$3:AD$131,"&lt;="&amp;(EDATE(DATE(YEAR(TODAY()),IF(MONTH(TODAY())&lt;=6,1,7),1),30)-1))</f>
        <v>0</v>
      </c>
    </row>
    <row r="18" spans="1:14" ht="21.9" customHeight="1">
      <c r="A18" s="62" t="str">
        <f ca="1">IF(MONTH(EDATE(DATE(YEAR(TODAY()),IF(MONTH(TODAY())&lt;=6,1,7),1),30))&lt;=6,TEXT(YEAR(EDATE(DATE(YEAR(TODAY()),IF(MONTH(TODAY())&lt;=6,1,7),1),30)),"0000")&amp;"上半",TEXT(YEAR(EDATE(DATE(YEAR(TODAY()),IF(MONTH(TODAY())&lt;=6,1,7),1),30)),"0000")&amp;"下半")</f>
        <v>2028下半</v>
      </c>
      <c r="B18" s="63">
        <f ca="1">COUNTIFS(工作表1!G$3:G$131,"&gt;="&amp;EDATE(DATE(YEAR(TODAY()),IF(MONTH(TODAY())&lt;=6,1,7),1),30),工作表1!G$3:G$131,"&lt;="&amp;(EDATE(DATE(YEAR(TODAY()),IF(MONTH(TODAY())&lt;=6,1,7),1),36)-1))</f>
        <v>6</v>
      </c>
      <c r="D18" s="64">
        <f ca="1">COUNTIFS(工作表1!AD$3:AD$131,"&gt;="&amp;EDATE(DATE(YEAR(TODAY()),IF(MONTH(TODAY())&lt;=6,1,7),1),30),工作表1!AD$3:AD$131,"&lt;="&amp;(EDATE(DATE(YEAR(TODAY()),IF(MONTH(TODAY())&lt;=6,1,7),1),36)-1))</f>
        <v>0</v>
      </c>
    </row>
    <row r="20" spans="1:14">
      <c r="G20" s="230" t="s">
        <v>637</v>
      </c>
      <c r="H20" s="185"/>
      <c r="I20" s="185"/>
      <c r="J20" s="185"/>
      <c r="K20" s="185"/>
    </row>
    <row r="21" spans="1:14">
      <c r="G21" s="65" t="s">
        <v>8</v>
      </c>
      <c r="H21" s="65" t="s">
        <v>638</v>
      </c>
      <c r="I21" s="65" t="s">
        <v>639</v>
      </c>
      <c r="J21" s="65" t="s">
        <v>640</v>
      </c>
      <c r="K21" s="65" t="s">
        <v>632</v>
      </c>
    </row>
    <row r="22" spans="1:14" ht="21.9" customHeight="1">
      <c r="G22" s="53" t="s">
        <v>36</v>
      </c>
      <c r="H22" s="66">
        <f>COUNTIFS(工作表1!B$3:B$131,"RA",工作表1!AG$3:AG$131,1)</f>
        <v>41</v>
      </c>
      <c r="I22" s="66">
        <f>COUNTIFS(工作表1!B$3:B$131,"RA",工作表1!AG$3:AG$131,2)</f>
        <v>1</v>
      </c>
      <c r="J22" s="66">
        <f>COUNTIFS(工作表1!B$3:B$131,"RA",工作表1!AG$3:AG$131,3)</f>
        <v>0</v>
      </c>
      <c r="K22" s="67">
        <f>COUNTIF(工作表1!B$3:B$131,"RA")</f>
        <v>42</v>
      </c>
    </row>
    <row r="23" spans="1:14" ht="21.9" customHeight="1">
      <c r="G23" s="55" t="s">
        <v>74</v>
      </c>
      <c r="H23" s="68">
        <f>COUNTIFS(工作表1!B$3:B$131,"MA",工作表1!AG$3:AG$131,1)</f>
        <v>15</v>
      </c>
      <c r="I23" s="68">
        <f>COUNTIFS(工作表1!B$3:B$131,"MA",工作表1!AG$3:AG$131,2)</f>
        <v>1</v>
      </c>
      <c r="J23" s="68">
        <f>COUNTIFS(工作表1!B$3:B$131,"MA",工作表1!AG$3:AG$131,3)</f>
        <v>0</v>
      </c>
      <c r="K23" s="67">
        <f>COUNTIF(工作表1!B$3:B$131,"MA")</f>
        <v>16</v>
      </c>
    </row>
    <row r="24" spans="1:14" ht="21.9" customHeight="1">
      <c r="G24" s="56" t="s">
        <v>78</v>
      </c>
      <c r="H24" s="69">
        <f>COUNTIFS(工作表1!B$3:B$131,"SA",工作表1!AG$3:AG$131,1)</f>
        <v>19</v>
      </c>
      <c r="I24" s="69">
        <f>COUNTIFS(工作表1!B$3:B$131,"SA",工作表1!AG$3:AG$131,2)</f>
        <v>7</v>
      </c>
      <c r="J24" s="69">
        <f>COUNTIFS(工作表1!B$3:B$131,"SA",工作表1!AG$3:AG$131,3)</f>
        <v>0</v>
      </c>
      <c r="K24" s="67">
        <f>COUNTIF(工作表1!B$3:B$131,"SA")</f>
        <v>26</v>
      </c>
    </row>
    <row r="25" spans="1:14" ht="21.9" customHeight="1">
      <c r="G25" s="57" t="s">
        <v>82</v>
      </c>
      <c r="H25" s="70">
        <f>COUNTIFS(工作表1!B$3:B$131,"VRV",工作表1!AG$3:AG$131,1)</f>
        <v>38</v>
      </c>
      <c r="I25" s="70">
        <f>COUNTIFS(工作表1!B$3:B$131,"VRV",工作表1!AG$3:AG$131,2)</f>
        <v>5</v>
      </c>
      <c r="J25" s="70">
        <f>COUNTIFS(工作表1!B$3:B$131,"VRV",工作表1!AG$3:AG$131,3)</f>
        <v>2</v>
      </c>
      <c r="K25" s="67">
        <f>COUNTIF(工作表1!B$3:B$131,"VRV")</f>
        <v>45</v>
      </c>
    </row>
    <row r="27" spans="1:14">
      <c r="G27" s="227" t="s">
        <v>641</v>
      </c>
      <c r="H27" s="185"/>
      <c r="I27" s="185"/>
      <c r="J27" s="185"/>
    </row>
    <row r="28" spans="1:14">
      <c r="G28" s="52" t="s">
        <v>8</v>
      </c>
      <c r="H28" s="52" t="s">
        <v>642</v>
      </c>
      <c r="I28" s="52" t="s">
        <v>643</v>
      </c>
      <c r="J28" s="52" t="s">
        <v>644</v>
      </c>
    </row>
    <row r="29" spans="1:14" ht="21.9" customHeight="1">
      <c r="G29" s="53" t="s">
        <v>36</v>
      </c>
      <c r="H29" s="54">
        <f t="array" aca="1" ref="H29" ca="1">SUM(--(FREQUENCY(IF((工作表1!B$3:B$131="RA")*(LOOKUP(ROW(工作表1!G$3:G$131),ROW(工作表1!G$3:G$131)/(工作表1!G$3:G$131&lt;&gt;""),工作表1!G$3:G$131)&gt;=TODAY())*(工作表1!C$3:C$131&lt;&gt;""),MATCH(工作表1!C$3:C$131,工作表1!C$3:C$131,0)),ROW(工作表1!C$3:C$131)-ROW(工作表1!C$3)+1)&gt;0))</f>
        <v>42</v>
      </c>
      <c r="I29" s="54">
        <f t="array" aca="1" ref="I29" ca="1">SUM(--(FREQUENCY(IF((工作表1!B$3:B$131="RA")*(工作表1!C$3:C$131&lt;&gt;"")*(工作表1!AC$3:AC$131&lt;&gt;"")*(LOOKUP(ROW(工作表1!G$3:G$131),ROW(工作表1!G$3:G$131)/(工作表1!G$3:G$131&lt;&gt;""),工作表1!G$3:G$131)&gt;=TODAY()),MATCH(工作表1!C$3:C$131,工作表1!C$3:C$131,0)),ROW(工作表1!C$3:C$131)-ROW(工作表1!C$3)+1)&gt;0))</f>
        <v>33</v>
      </c>
      <c r="J29" s="179">
        <f ca="1">IFERROR(圖表資料!I29/圖表資料!H29,0)</f>
        <v>0.7857142857142857</v>
      </c>
      <c r="L29" s="53" t="s">
        <v>36</v>
      </c>
      <c r="M29" s="180">
        <f ca="1">J29</f>
        <v>0.7857142857142857</v>
      </c>
      <c r="N29" s="180">
        <f ca="1">1-M29</f>
        <v>0.2142857142857143</v>
      </c>
    </row>
    <row r="30" spans="1:14" ht="21.9" customHeight="1">
      <c r="G30" s="55" t="s">
        <v>74</v>
      </c>
      <c r="H30" s="54">
        <f t="array" aca="1" ref="H30" ca="1">SUM(--(FREQUENCY(IF((工作表1!B$3:B$131="MA")*(LOOKUP(ROW(工作表1!G$3:G$131),ROW(工作表1!G$3:G$131)/(工作表1!G$3:G$131&lt;&gt;""),工作表1!G$3:G$131)&gt;=TODAY())*(工作表1!C$3:C$131&lt;&gt;""),MATCH(工作表1!C$3:C$131,工作表1!C$3:C$131,0)),ROW(工作表1!C$3:C$131)-ROW(工作表1!C$3)+1)&gt;0))</f>
        <v>11</v>
      </c>
      <c r="I30" s="54">
        <f t="array" aca="1" ref="I30" ca="1">SUM(--(FREQUENCY(IF((工作表1!B$3:B$131="MA")*(工作表1!C$3:C$131&lt;&gt;"")*(工作表1!AC$3:AC$131&lt;&gt;"")*(LOOKUP(ROW(工作表1!G$3:G$131),ROW(工作表1!G$3:G$131)/(工作表1!G$3:G$131&lt;&gt;""),工作表1!G$3:G$131)&gt;=TODAY()),MATCH(工作表1!C$3:C$131,工作表1!C$3:C$131,0)),ROW(工作表1!C$3:C$131)-ROW(工作表1!C$3)+1)&gt;0))</f>
        <v>7</v>
      </c>
      <c r="J30" s="179">
        <f ca="1">IFERROR(圖表資料!I30/圖表資料!H30,0)</f>
        <v>0.63636363636363635</v>
      </c>
      <c r="L30" s="55" t="s">
        <v>74</v>
      </c>
      <c r="M30" s="180">
        <f ca="1">J30</f>
        <v>0.63636363636363635</v>
      </c>
      <c r="N30" s="180">
        <f ca="1">1-M30</f>
        <v>0.36363636363636365</v>
      </c>
    </row>
    <row r="31" spans="1:14" ht="21.9" customHeight="1">
      <c r="G31" s="56" t="s">
        <v>78</v>
      </c>
      <c r="H31" s="54">
        <f t="array" aca="1" ref="H31" ca="1">SUM(--(FREQUENCY(IF((工作表1!B$3:B$131="SA")*(LOOKUP(ROW(工作表1!G$3:G$131),ROW(工作表1!G$3:G$131)/(工作表1!G$3:G$131&lt;&gt;""),工作表1!G$3:G$131)&gt;=TODAY())*(工作表1!C$3:C$131&lt;&gt;""),MATCH(工作表1!C$3:C$131,工作表1!C$3:C$131,0)),ROW(工作表1!C$3:C$131)-ROW(工作表1!C$3)+1)&gt;0))</f>
        <v>24</v>
      </c>
      <c r="I31" s="54">
        <f t="array" aca="1" ref="I31" ca="1">SUM(--(FREQUENCY(IF((工作表1!B$3:B$131="SA")*(工作表1!C$3:C$131&lt;&gt;"")*(工作表1!AC$3:AC$131&lt;&gt;"")*(LOOKUP(ROW(工作表1!G$3:G$131),ROW(工作表1!G$3:G$131)/(工作表1!G$3:G$131&lt;&gt;""),工作表1!G$3:G$131)&gt;=TODAY()),MATCH(工作表1!C$3:C$131,工作表1!C$3:C$131,0)),ROW(工作表1!C$3:C$131)-ROW(工作表1!C$3)+1)&gt;0))</f>
        <v>17</v>
      </c>
      <c r="J31" s="179">
        <f ca="1">IFERROR(圖表資料!I31/圖表資料!H31,0)</f>
        <v>0.70833333333333337</v>
      </c>
      <c r="L31" s="56" t="s">
        <v>78</v>
      </c>
      <c r="M31" s="180">
        <f ca="1">J31</f>
        <v>0.70833333333333337</v>
      </c>
      <c r="N31" s="180">
        <f ca="1">1-M31</f>
        <v>0.29166666666666663</v>
      </c>
    </row>
    <row r="32" spans="1:14" ht="21.9" customHeight="1">
      <c r="G32" s="57" t="s">
        <v>82</v>
      </c>
      <c r="H32" s="54">
        <f t="array" aca="1" ref="H32" ca="1">SUM(--(FREQUENCY(IF((工作表1!B$3:B$131="VRV")*(LOOKUP(ROW(工作表1!G$3:G$131),ROW(工作表1!G$3:G$131)/(工作表1!G$3:G$131&lt;&gt;""),工作表1!G$3:G$131)&gt;=TODAY())*(工作表1!C$3:C$131&lt;&gt;""),MATCH(工作表1!C$3:C$131,工作表1!C$3:C$131,0)),ROW(工作表1!C$3:C$131)-ROW(工作表1!C$3)+1)&gt;0))</f>
        <v>45</v>
      </c>
      <c r="I32" s="54">
        <f t="array" aca="1" ref="I32" ca="1">SUM(--(FREQUENCY(IF((工作表1!B$3:B$131="VRV")*(工作表1!C$3:C$131&lt;&gt;"")*(工作表1!AC$3:AC$131&lt;&gt;"")*(LOOKUP(ROW(工作表1!G$3:G$131),ROW(工作表1!G$3:G$131)/(工作表1!G$3:G$131&lt;&gt;""),工作表1!G$3:G$131)&gt;=TODAY()),MATCH(工作表1!C$3:C$131,工作表1!C$3:C$131,0)),ROW(工作表1!C$3:C$131)-ROW(工作表1!C$3)+1)&gt;0))</f>
        <v>28</v>
      </c>
      <c r="J32" s="179">
        <f ca="1">IFERROR(圖表資料!I32/圖表資料!H32,0)</f>
        <v>0.62222222222222223</v>
      </c>
      <c r="L32" s="57" t="s">
        <v>82</v>
      </c>
      <c r="M32" s="180">
        <f ca="1">J32</f>
        <v>0.62222222222222223</v>
      </c>
      <c r="N32" s="180">
        <f ca="1">1-M32</f>
        <v>0.37777777777777777</v>
      </c>
    </row>
    <row r="33" spans="1:11">
      <c r="H33" s="94">
        <f ca="1">SUM(H29:H32)</f>
        <v>122</v>
      </c>
      <c r="I33" s="94">
        <f ca="1">SUM(I29:I32)</f>
        <v>85</v>
      </c>
      <c r="J33" s="95">
        <f ca="1">I33/H33</f>
        <v>0.69672131147540983</v>
      </c>
    </row>
    <row r="34" spans="1:11">
      <c r="G34" s="231" t="s">
        <v>645</v>
      </c>
      <c r="H34" s="185"/>
      <c r="I34" s="185"/>
      <c r="J34" s="185"/>
      <c r="K34" s="185"/>
    </row>
    <row r="35" spans="1:11">
      <c r="G35" s="71" t="s">
        <v>646</v>
      </c>
      <c r="H35" s="72" t="s">
        <v>36</v>
      </c>
      <c r="I35" s="73" t="s">
        <v>74</v>
      </c>
      <c r="J35" s="74" t="s">
        <v>78</v>
      </c>
      <c r="K35" s="75" t="s">
        <v>82</v>
      </c>
    </row>
    <row r="36" spans="1:11" ht="20.100000000000001" customHeight="1">
      <c r="G36" s="76" t="s">
        <v>647</v>
      </c>
      <c r="H36" s="66">
        <f ca="1">SUMPRODUCT((工作表1!B$3:B$195="RA")*(工作表1!Z$3:Z$195&gt;=95%)*(工作表1!Z$3:Z$195&lt;96%)*(LOOKUP(ROW(工作表1!G$3:G$195),ROW(工作表1!G$3:G$195)/(工作表1!G$3:G$195&lt;&gt;""),工作表1!G$3:G$195)&gt;=TODAY()))</f>
        <v>3</v>
      </c>
      <c r="I36" s="68">
        <f ca="1">SUMPRODUCT((工作表1!B$3:B$195="MA")*(工作表1!Z$3:Z$195&gt;=95%)*(工作表1!Z$3:Z$195&lt;96%)*(LOOKUP(ROW(工作表1!G$3:G$195),ROW(工作表1!G$3:G$195)/(工作表1!G$3:G$195&lt;&gt;""),工作表1!G$3:G$195)&gt;=TODAY()))</f>
        <v>0</v>
      </c>
      <c r="J36" s="69">
        <f ca="1">SUMPRODUCT((工作表1!B$3:B$195="SA")*(工作表1!Z$3:Z$195&gt;=95%)*(工作表1!Z$3:Z$195&lt;96%)*(LOOKUP(ROW(工作表1!G$3:G$195),ROW(工作表1!G$3:G$195)/(工作表1!G$3:G$195&lt;&gt;""),工作表1!G$3:G$195)&gt;=TODAY()))</f>
        <v>0</v>
      </c>
      <c r="K36" s="70">
        <f ca="1">SUMPRODUCT((工作表1!B$3:B$195="VRV")*(工作表1!Z$3:Z$195&gt;=95%)*(工作表1!Z$3:Z$195&lt;96%)*(LOOKUP(ROW(工作表1!G$3:G$195),ROW(工作表1!G$3:G$195)/(工作表1!G$3:G$195&lt;&gt;""),工作表1!G$3:G$195)&gt;=TODAY()))</f>
        <v>27</v>
      </c>
    </row>
    <row r="37" spans="1:11" ht="20.100000000000001" customHeight="1">
      <c r="G37" s="77" t="s">
        <v>648</v>
      </c>
      <c r="H37" s="78">
        <f ca="1">SUMPRODUCT((工作表1!B$3:B$195="RA")*(工作表1!Z$3:Z$195&gt;=96%)*(工作表1!Z$3:Z$195&lt;97%)*(LOOKUP(ROW(工作表1!G$3:G$195),ROW(工作表1!G$3:G$195)/(工作表1!G$3:G$195&lt;&gt;""),工作表1!G$3:G$195)&gt;=TODAY()))</f>
        <v>0</v>
      </c>
      <c r="I37" s="79">
        <f ca="1">SUMPRODUCT((工作表1!B$3:B$195="MA")*(工作表1!Z$3:Z$195&gt;=96%)*(工作表1!Z$3:Z$195&lt;97%)*(LOOKUP(ROW(工作表1!G$3:G$195),ROW(工作表1!G$3:G$195)/(工作表1!G$3:G$195&lt;&gt;""),工作表1!G$3:G$195)&gt;=TODAY()))</f>
        <v>0</v>
      </c>
      <c r="J37" s="80">
        <f ca="1">SUMPRODUCT((工作表1!B$3:B$195="SA")*(工作表1!Z$3:Z$195&gt;=96%)*(工作表1!Z$3:Z$195&lt;97%)*(LOOKUP(ROW(工作表1!G$3:G$195),ROW(工作表1!G$3:G$195)/(工作表1!G$3:G$195&lt;&gt;""),工作表1!G$3:G$195)&gt;=TODAY()))</f>
        <v>2</v>
      </c>
      <c r="K37" s="81">
        <f>COUNTIFS(工作表1!B$3:B$131,"VRV",工作表1!Z$3:Z$131,"&gt;="&amp;0.96,工作表1!Z$3:Z$131,"&lt;"&amp;0.97)</f>
        <v>5</v>
      </c>
    </row>
    <row r="38" spans="1:11" ht="20.100000000000001" customHeight="1">
      <c r="G38" s="76" t="s">
        <v>649</v>
      </c>
      <c r="H38" s="66">
        <f ca="1">SUMPRODUCT((工作表1!B$3:B$195="RA")*(工作表1!Z$3:Z$195&gt;=97%)*(工作表1!Z$3:Z$195&lt;98%)*(LOOKUP(ROW(工作表1!G$3:G$195),ROW(工作表1!G$3:G$195)/(工作表1!G$3:G$195&lt;&gt;""),工作表1!G$3:G$195)&gt;=TODAY()))</f>
        <v>3</v>
      </c>
      <c r="I38" s="68">
        <f ca="1">SUMPRODUCT((工作表1!B$3:B$195="MA")*(工作表1!Z$3:Z$195&gt;=97%)*(工作表1!Z$3:Z$195&lt;98%)*(LOOKUP(ROW(工作表1!G$3:G$195),ROW(工作表1!G$3:G$195)/(工作表1!G$3:G$195&lt;&gt;""),工作表1!G$3:G$195)&gt;=TODAY()))</f>
        <v>0</v>
      </c>
      <c r="J38" s="69">
        <f ca="1">SUMPRODUCT((工作表1!B$3:B$195="SA")*(工作表1!Z$3:Z$195&gt;=97%)*(工作表1!Z$3:Z$195&lt;98%)*(LOOKUP(ROW(工作表1!G$3:G$195),ROW(工作表1!G$3:G$195)/(工作表1!G$3:G$195&lt;&gt;""),工作表1!G$3:G$195)&gt;=TODAY()))</f>
        <v>1</v>
      </c>
      <c r="K38" s="70">
        <f ca="1">SUMPRODUCT((工作表1!B$3:B$195="VRV")*(工作表1!Z$3:Z$195&gt;=97%)*(工作表1!Z$3:Z$195&lt;98%)*(LOOKUP(ROW(工作表1!G$3:G$195),ROW(工作表1!G$3:G$195)/(工作表1!G$3:G$195&lt;&gt;""),工作表1!G$3:G$195)&gt;=TODAY()))</f>
        <v>4</v>
      </c>
    </row>
    <row r="39" spans="1:11" ht="20.100000000000001" customHeight="1">
      <c r="G39" s="77" t="s">
        <v>650</v>
      </c>
      <c r="H39" s="78">
        <f ca="1">SUMPRODUCT((工作表1!B$3:B$195="RA")*(工作表1!Z$3:Z$195&gt;=98%)*(工作表1!Z$3:Z$195&lt;99%)*(LOOKUP(ROW(工作表1!G$3:G$195),ROW(工作表1!G$3:G$195)/(工作表1!G$3:G$195&lt;&gt;""),工作表1!G$3:G$195)&gt;=TODAY()))</f>
        <v>6</v>
      </c>
      <c r="I39" s="79">
        <f ca="1">SUMPRODUCT((工作表1!B$3:B$195="MA")*(工作表1!Z$3:Z$195&gt;=98%)*(工作表1!Z$3:Z$195&lt;99%)*(LOOKUP(ROW(工作表1!G$3:G$195),ROW(工作表1!G$3:G$195)/(工作表1!G$3:G$195&lt;&gt;""),工作表1!G$3:G$195)&gt;=TODAY()))</f>
        <v>0</v>
      </c>
      <c r="J39" s="80">
        <f ca="1">SUMPRODUCT((工作表1!B$3:B$195="SA")*(工作表1!Z$3:Z$195&gt;=98%)*(工作表1!Z$3:Z$195&lt;99%)*(LOOKUP(ROW(工作表1!G$3:G$195),ROW(工作表1!G$3:G$195)/(工作表1!G$3:G$195&lt;&gt;""),工作表1!G$3:G$195)&gt;=TODAY()))</f>
        <v>2</v>
      </c>
      <c r="K39" s="81">
        <f ca="1">SUMPRODUCT((工作表1!B$3:B$195="VRV")*(工作表1!Z$3:Z$195&gt;=98%)*(工作表1!Z$3:Z$195&lt;99%)*(LOOKUP(ROW(工作表1!G$3:G$195),ROW(工作表1!G$3:G$195)/(工作表1!G$3:G$195&lt;&gt;""),工作表1!G$3:G$195)&gt;=TODAY()))</f>
        <v>5</v>
      </c>
    </row>
    <row r="40" spans="1:11" ht="20.100000000000001" customHeight="1">
      <c r="G40" s="76" t="s">
        <v>651</v>
      </c>
      <c r="H40" s="66">
        <f ca="1">SUMPRODUCT((工作表1!B$3:B$195="RA")*(工作表1!Z$3:Z$195&gt;=99%)*(工作表1!Z$3:Z$195&lt;100%)*(LOOKUP(ROW(工作表1!G$3:G$195),ROW(工作表1!G$3:G$195)/(工作表1!G$3:G$195&lt;&gt;""),工作表1!G$3:G$195)&gt;=TODAY()))</f>
        <v>4</v>
      </c>
      <c r="I40" s="68">
        <f ca="1">SUMPRODUCT((工作表1!B$3:B$195="MA")*(工作表1!Z$3:Z$195&gt;=99%)*(工作表1!Z$3:Z$195&lt;100%)*(LOOKUP(ROW(工作表1!G$3:G$195),ROW(工作表1!G$3:G$195)/(工作表1!G$3:G$195&lt;&gt;""),工作表1!G$3:G$195)&gt;=TODAY()))</f>
        <v>0</v>
      </c>
      <c r="J40" s="69">
        <f ca="1">SUMPRODUCT((工作表1!B$3:B$195="SA")*(工作表1!Z$3:Z$195&gt;=99%)*(工作表1!Z$3:Z$195&lt;100%)*(LOOKUP(ROW(工作表1!G$3:G$195),ROW(工作表1!G$3:G$195)/(工作表1!G$3:G$195&lt;&gt;""),工作表1!G$3:G$195)&gt;=TODAY()))</f>
        <v>2</v>
      </c>
      <c r="K40" s="70">
        <f ca="1">SUMPRODUCT((工作表1!B$3:B$195="VRV")*(工作表1!Z$3:Z$195&gt;=99%)*(工作表1!Z$3:Z$195&lt;100%)*(LOOKUP(ROW(工作表1!G$3:G$195),ROW(工作表1!G$3:G$195)/(工作表1!G$3:G$195&lt;&gt;""),工作表1!G$3:G$195)&gt;=TODAY()))</f>
        <v>1</v>
      </c>
    </row>
    <row r="41" spans="1:11" ht="20.100000000000001" customHeight="1">
      <c r="G41" s="77" t="s">
        <v>652</v>
      </c>
      <c r="H41" s="78">
        <f ca="1">SUMPRODUCT((工作表1!B$3:B$195="RA")*(工作表1!Z$3:Z$195&gt;=100%)*(工作表1!Z$3:Z$195&lt;101%)*(LOOKUP(ROW(工作表1!G$3:G$195),ROW(工作表1!G$3:G$195)/(工作表1!G$3:G$195&lt;&gt;""),工作表1!G$3:G$195)&gt;=TODAY()))</f>
        <v>5</v>
      </c>
      <c r="I41" s="79">
        <f ca="1">SUMPRODUCT((工作表1!B$3:B$195="MA")*(工作表1!Z$3:Z$195&gt;=100%)*(工作表1!Z$3:Z$195&lt;101%)*(LOOKUP(ROW(工作表1!G$3:G$195),ROW(工作表1!G$3:G$195)/(工作表1!G$3:G$195&lt;&gt;""),工作表1!G$3:G$195)&gt;=TODAY()))</f>
        <v>3</v>
      </c>
      <c r="J41" s="80">
        <f ca="1">SUMPRODUCT((工作表1!B$3:B$195="SA")*(工作表1!Z$3:Z$195&gt;=100%)*(工作表1!Z$3:Z$195&lt;101%)*(LOOKUP(ROW(工作表1!G$3:G$195),ROW(工作表1!G$3:G$195)/(工作表1!G$3:G$195&lt;&gt;""),工作表1!G$3:G$195)&gt;=TODAY()))</f>
        <v>2</v>
      </c>
      <c r="K41" s="81">
        <f ca="1">SUMPRODUCT((工作表1!B$3:B$195="VRV")*(工作表1!Z$3:Z$195&gt;=100%)*(工作表1!Z$3:Z$195&lt;101%)*(LOOKUP(ROW(工作表1!G$3:G$195),ROW(工作表1!G$3:G$195)/(工作表1!G$3:G$195&lt;&gt;""),工作表1!G$3:G$195)&gt;=TODAY()))</f>
        <v>2</v>
      </c>
    </row>
    <row r="42" spans="1:11" ht="20.100000000000001" customHeight="1">
      <c r="G42" s="76" t="s">
        <v>653</v>
      </c>
      <c r="H42" s="66">
        <f ca="1">SUMPRODUCT((工作表1!B$3:B$195="RA")*(工作表1!Z$3:Z$195&gt;=101%)*(工作表1!Z$3:Z$195&lt;102%)*(LOOKUP(ROW(工作表1!G$3:G$195),ROW(工作表1!G$3:G$195)/(工作表1!G$3:G$195&lt;&gt;""),工作表1!G$3:G$195)&gt;=TODAY()))</f>
        <v>4</v>
      </c>
      <c r="I42" s="68">
        <f ca="1">SUMPRODUCT((工作表1!B$3:B$195="MA")*(工作表1!Z$3:Z$195&gt;=101%)*(工作表1!Z$3:Z$195&lt;102%)*(LOOKUP(ROW(工作表1!G$3:G$195),ROW(工作表1!G$3:G$195)/(工作表1!G$3:G$195&lt;&gt;""),工作表1!G$3:G$195)&gt;=TODAY()))</f>
        <v>2</v>
      </c>
      <c r="J42" s="69">
        <f ca="1">SUMPRODUCT((工作表1!B$3:B$195="SA")*(工作表1!Z$3:Z$195&gt;=101%)*(工作表1!Z$3:Z$195&lt;102%)*(LOOKUP(ROW(工作表1!G$3:G$195),ROW(工作表1!G$3:G$195)/(工作表1!G$3:G$195&lt;&gt;""),工作表1!G$3:G$195)&gt;=TODAY()))</f>
        <v>4</v>
      </c>
      <c r="K42" s="70">
        <f ca="1">SUMPRODUCT((工作表1!B$3:B$195="VRV")*(工作表1!Z$3:Z$195&gt;=101%)*(工作表1!Z$3:Z$195&lt;102%)*(LOOKUP(ROW(工作表1!G$3:G$195),ROW(工作表1!G$3:G$195)/(工作表1!G$3:G$195&lt;&gt;""),工作表1!G$3:G$195)&gt;=TODAY()))</f>
        <v>0</v>
      </c>
    </row>
    <row r="43" spans="1:11" ht="20.100000000000001" customHeight="1">
      <c r="G43" s="77" t="s">
        <v>654</v>
      </c>
      <c r="H43" s="78">
        <f ca="1">SUMPRODUCT((工作表1!B$3:B$195="RA")*(工作表1!Z$3:Z$195&gt;=102%)*(工作表1!Z$3:Z$195&lt;103%)*(LOOKUP(ROW(工作表1!G$3:G$195),ROW(工作表1!G$3:G$195)/(工作表1!G$3:G$195&lt;&gt;""),工作表1!G$3:G$195)&gt;=TODAY()))</f>
        <v>2</v>
      </c>
      <c r="I43" s="79">
        <f ca="1">SUMPRODUCT((工作表1!B$3:B$195="MA")*(工作表1!Z$3:Z$195&gt;=102%)*(工作表1!Z$3:Z$195&lt;103%)*(LOOKUP(ROW(工作表1!G$3:G$195),ROW(工作表1!G$3:G$195)/(工作表1!G$3:G$195&lt;&gt;""),工作表1!G$3:G$195)&gt;=TODAY()))</f>
        <v>1</v>
      </c>
      <c r="J43" s="80">
        <f ca="1">SUMPRODUCT((工作表1!B$3:B$195="SA")*(工作表1!Z$3:Z$195&gt;=102%)*(工作表1!Z$3:Z$195&lt;103%)*(LOOKUP(ROW(工作表1!G$3:G$195),ROW(工作表1!G$3:G$195)/(工作表1!G$3:G$195&lt;&gt;""),工作表1!G$3:G$195)&gt;=TODAY()))</f>
        <v>0</v>
      </c>
      <c r="K43" s="81">
        <f ca="1">SUMPRODUCT((工作表1!B$3:B$195="VRV")*(工作表1!Z$3:Z$195&gt;=102%)*(工作表1!Z$3:Z$195&lt;103%)*(LOOKUP(ROW(工作表1!G$3:G$195),ROW(工作表1!G$3:G$195)/(工作表1!G$3:G$195&lt;&gt;""),工作表1!G$3:G$195)&gt;=TODAY()))</f>
        <v>0</v>
      </c>
    </row>
    <row r="44" spans="1:11" ht="20.100000000000001" customHeight="1">
      <c r="G44" s="76" t="s">
        <v>655</v>
      </c>
      <c r="H44" s="66">
        <f ca="1">SUMPRODUCT((工作表1!B$3:B$195="RA")*(工作表1!Z$3:Z$195&gt;=103%)*(工作表1!Z$3:Z$195&lt;104%)*(LOOKUP(ROW(工作表1!G$3:G$195),ROW(工作表1!G$3:G$195)/(工作表1!G$3:G$195&lt;&gt;""),工作表1!G$3:G$195)&gt;=TODAY()))</f>
        <v>5</v>
      </c>
      <c r="I44" s="68">
        <f ca="1">SUMPRODUCT((工作表1!B$3:B$195="MA")*(工作表1!Z$3:Z$195&gt;=103%)*(工作表1!Z$3:Z$195&lt;104%)*(LOOKUP(ROW(工作表1!G$3:G$195),ROW(工作表1!G$3:G$195)/(工作表1!G$3:G$195&lt;&gt;""),工作表1!G$3:G$195)&gt;=TODAY()))</f>
        <v>4</v>
      </c>
      <c r="J44" s="69">
        <f ca="1">SUMPRODUCT((工作表1!B$3:B$195="SA")*(工作表1!Z$3:Z$195&gt;=103%)*(工作表1!Z$3:Z$195&lt;104%)*(LOOKUP(ROW(工作表1!G$3:G$195),ROW(工作表1!G$3:G$195)/(工作表1!G$3:G$195&lt;&gt;""),工作表1!G$3:G$195)&gt;=TODAY()))</f>
        <v>3</v>
      </c>
      <c r="K44" s="70">
        <f ca="1">SUMPRODUCT((工作表1!B$3:B$195="VRV")*(工作表1!Z$3:Z$195&gt;=103%)*(工作表1!Z$3:Z$195&lt;104%)*(LOOKUP(ROW(工作表1!G$3:G$195),ROW(工作表1!G$3:G$195)/(工作表1!G$3:G$195&lt;&gt;""),工作表1!G$3:G$195)&gt;=TODAY()))</f>
        <v>0</v>
      </c>
    </row>
    <row r="45" spans="1:11" ht="20.100000000000001" customHeight="1">
      <c r="G45" s="77" t="s">
        <v>656</v>
      </c>
      <c r="H45" s="78">
        <f ca="1">SUMPRODUCT((工作表1!B$3:B$195="RA")*(工作表1!Z$3:Z$195&gt;=104%)*(工作表1!Z$3:Z$195&lt;105%)*(LOOKUP(ROW(工作表1!G$3:G$195),ROW(工作表1!G$3:G$195)/(工作表1!G$3:G$195&lt;&gt;""),工作表1!G$3:G$195)&gt;=TODAY()))</f>
        <v>3</v>
      </c>
      <c r="I45" s="79">
        <f ca="1">SUMPRODUCT((工作表1!B$3:B$195="MA")*(工作表1!Z$3:Z$195&gt;=104%)*(工作表1!Z$3:Z$195&lt;105%)*(LOOKUP(ROW(工作表1!G$3:G$195),ROW(工作表1!G$3:G$195)/(工作表1!G$3:G$195&lt;&gt;""),工作表1!G$3:G$195)&gt;=TODAY()))</f>
        <v>0</v>
      </c>
      <c r="J45" s="80">
        <f ca="1">SUMPRODUCT((工作表1!B$3:B$195="SA")*(工作表1!Z$3:Z$195&gt;=104%)*(工作表1!Z$3:Z$195&lt;105%)*(LOOKUP(ROW(工作表1!G$3:G$195),ROW(工作表1!G$3:G$195)/(工作表1!G$3:G$195&lt;&gt;""),工作表1!G$3:G$195)&gt;=TODAY()))</f>
        <v>2</v>
      </c>
      <c r="K45" s="81">
        <f ca="1">SUMPRODUCT((工作表1!B$3:B$195="VRV")*(工作表1!Z$3:Z$195&gt;=104%)*(工作表1!Z$3:Z$195&lt;105%)*(LOOKUP(ROW(工作表1!G$3:G$195),ROW(工作表1!G$3:G$195)/(工作表1!G$3:G$195&lt;&gt;""),工作表1!G$3:G$195)&gt;=TODAY()))</f>
        <v>0</v>
      </c>
    </row>
    <row r="46" spans="1:11" ht="20.100000000000001" customHeight="1">
      <c r="G46" s="76" t="s">
        <v>657</v>
      </c>
      <c r="H46" s="66">
        <f ca="1">SUMPRODUCT((工作表1!B$3:B$195="RA")*(工作表1!Z$3:Z$195&gt;=105%)*(工作表1!Z$3:Z$195&lt;106%)*(LOOKUP(ROW(工作表1!G$3:G$195),ROW(工作表1!G$3:G$195)/(工作表1!G$3:G$195&lt;&gt;""),工作表1!G$3:G$195)&gt;=TODAY()))</f>
        <v>2</v>
      </c>
      <c r="I46" s="68">
        <f ca="1">SUMPRODUCT((工作表1!B$3:B$195="MA")*(工作表1!Z$3:Z$195&gt;=105%)*(工作表1!Z$3:Z$195&lt;106%)*(LOOKUP(ROW(工作表1!G$3:G$195),ROW(工作表1!G$3:G$195)/(工作表1!G$3:G$195&lt;&gt;""),工作表1!G$3:G$195)&gt;=TODAY()))</f>
        <v>0</v>
      </c>
      <c r="J46" s="69">
        <f ca="1">SUMPRODUCT((工作表1!B$3:B$195="SA")*(工作表1!Z$3:Z$195&gt;=105%)*(工作表1!Z$3:Z$195&lt;106%)*(LOOKUP(ROW(工作表1!G$3:G$195),ROW(工作表1!G$3:G$195)/(工作表1!G$3:G$195&lt;&gt;""),工作表1!G$3:G$195)&gt;=TODAY()))</f>
        <v>0</v>
      </c>
      <c r="K46" s="70">
        <f ca="1">SUMPRODUCT((工作表1!B$3:B$195="VRV")*(工作表1!Z$3:Z$195&gt;=105%)*(工作表1!Z$3:Z$195&lt;106%)*(LOOKUP(ROW(工作表1!G$3:G$195),ROW(工作表1!G$3:G$195)/(工作表1!G$3:G$195&lt;&gt;""),工作表1!G$3:G$195)&gt;=TODAY()))</f>
        <v>0</v>
      </c>
    </row>
    <row r="47" spans="1:11">
      <c r="G47" s="77" t="s">
        <v>658</v>
      </c>
      <c r="H47" s="66">
        <f ca="1">SUMPRODUCT((工作表1!B$3:B$195="RA")*(工作表1!Z$3:Z$195&gt;=106%)*(LOOKUP(ROW(工作表1!G$3:G$195),ROW(工作表1!G$3:G$195)/(工作表1!G$3:G$195&lt;&gt;""),工作表1!G$3:G$195)&gt;=TODAY()))</f>
        <v>5</v>
      </c>
      <c r="I47" s="68">
        <f ca="1">SUMPRODUCT((工作表1!B$3:B$195="MA")*(工作表1!Z$3:Z$195&gt;=106%)*(LOOKUP(ROW(工作表1!G$3:G$195),ROW(工作表1!G$3:G$195)/(工作表1!G$3:G$195&lt;&gt;""),工作表1!G$3:G$195)&gt;=TODAY()))</f>
        <v>1</v>
      </c>
      <c r="J47" s="69">
        <f ca="1">SUMPRODUCT((工作表1!B$3:B$195="SA")*(工作表1!Z$3:Z$195&gt;=106%)*(LOOKUP(ROW(工作表1!G$3:G$195),ROW(工作表1!G$3:G$195)/(工作表1!G$3:G$195&lt;&gt;""),工作表1!G$3:G$195)&gt;=TODAY()))</f>
        <v>6</v>
      </c>
      <c r="K47" s="70">
        <f ca="1">SUMPRODUCT((工作表1!B$3:B$195="VRV")*(工作表1!Z$3:Z$195&gt;=106%)*(LOOKUP(ROW(工作表1!G$3:G$195),ROW(工作表1!G$3:G$195)/(工作表1!G$3:G$195&lt;&gt;""),工作表1!G$3:G$195)&gt;=TODAY()))</f>
        <v>0</v>
      </c>
    </row>
    <row r="48" spans="1:11" ht="26.1" customHeight="1">
      <c r="A48" s="229" t="s">
        <v>659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</row>
    <row r="49" spans="1:11" ht="21.9" customHeight="1">
      <c r="A49" s="226" t="s">
        <v>660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</row>
    <row r="50" spans="1:11" ht="21.9" customHeight="1">
      <c r="A50" s="225" t="s">
        <v>661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</row>
    <row r="51" spans="1:11" ht="21.9" customHeight="1">
      <c r="A51" s="226" t="s">
        <v>662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</row>
    <row r="52" spans="1:11" ht="21.9" customHeight="1">
      <c r="A52" s="225" t="s">
        <v>663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</row>
    <row r="53" spans="1:11" ht="21.9" customHeight="1">
      <c r="A53" s="226" t="s">
        <v>664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</row>
    <row r="54" spans="1:11" ht="21.9" customHeight="1">
      <c r="A54" s="225" t="s">
        <v>665</v>
      </c>
      <c r="B54" s="185"/>
      <c r="C54" s="185"/>
      <c r="D54" s="185"/>
      <c r="E54" s="185"/>
      <c r="F54" s="185"/>
      <c r="G54" s="185"/>
      <c r="H54" s="185"/>
      <c r="I54" s="185"/>
      <c r="J54" s="185"/>
      <c r="K54" s="185"/>
    </row>
    <row r="55" spans="1:11" ht="21.9" customHeight="1">
      <c r="A55" s="226" t="s">
        <v>666</v>
      </c>
      <c r="B55" s="185"/>
      <c r="C55" s="185"/>
      <c r="D55" s="185"/>
      <c r="E55" s="185"/>
      <c r="F55" s="185"/>
      <c r="G55" s="185"/>
      <c r="H55" s="185"/>
      <c r="I55" s="185"/>
      <c r="J55" s="185"/>
      <c r="K55" s="185"/>
    </row>
  </sheetData>
  <mergeCells count="15">
    <mergeCell ref="A1:K1"/>
    <mergeCell ref="A54:K54"/>
    <mergeCell ref="A55:K55"/>
    <mergeCell ref="D3:E3"/>
    <mergeCell ref="A11:E11"/>
    <mergeCell ref="A49:K49"/>
    <mergeCell ref="A51:K51"/>
    <mergeCell ref="A52:K52"/>
    <mergeCell ref="G27:J27"/>
    <mergeCell ref="A3:B3"/>
    <mergeCell ref="A53:K53"/>
    <mergeCell ref="A50:K50"/>
    <mergeCell ref="A48:K48"/>
    <mergeCell ref="G20:K20"/>
    <mergeCell ref="G34:K34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工作表1</vt:lpstr>
      <vt:lpstr>工作表2</vt:lpstr>
      <vt:lpstr>到期清單</vt:lpstr>
      <vt:lpstr>圖表資料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洪義翔</dc:creator>
  <cp:lastModifiedBy>洪義翔</cp:lastModifiedBy>
  <dcterms:created xsi:type="dcterms:W3CDTF">2026-04-27T09:29:58Z</dcterms:created>
  <dcterms:modified xsi:type="dcterms:W3CDTF">2026-06-15T06:23:24Z</dcterms:modified>
</cp:coreProperties>
</file>