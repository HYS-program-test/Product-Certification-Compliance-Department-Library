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8880" tabRatio="600" firstSheet="0" activeTab="0" autoFilterDateGrouping="1"/>
  </bookViews>
  <sheets>
    <sheet xmlns:r="http://schemas.openxmlformats.org/officeDocument/2006/relationships" name="工作表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/m/d;@"/>
    <numFmt numFmtId="165" formatCode="yyyy/mm/dd"/>
  </numFmts>
  <fonts count="5">
    <font>
      <name val="新細明體"/>
      <charset val="136"/>
      <family val="2"/>
      <color theme="1"/>
      <sz val="12"/>
      <scheme val="minor"/>
    </font>
    <font>
      <name val="新細明體"/>
      <charset val="136"/>
      <family val="1"/>
      <sz val="12"/>
    </font>
    <font>
      <name val="微軟正黑體"/>
      <charset val="136"/>
      <family val="2"/>
      <sz val="12"/>
    </font>
    <font>
      <name val="新細明體"/>
      <charset val="136"/>
      <family val="2"/>
      <sz val="9"/>
      <scheme val="minor"/>
    </font>
    <font>
      <name val="微軟正黑體"/>
      <charset val="136"/>
      <family val="2"/>
      <color theme="1"/>
      <sz val="12"/>
    </font>
  </fonts>
  <fills count="4">
    <fill>
      <patternFill/>
    </fill>
    <fill>
      <patternFill patternType="gray125"/>
    </fill>
    <fill>
      <patternFill patternType="solid">
        <fgColor rgb="FF9FD8FF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top"/>
    </xf>
    <xf numFmtId="14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right" vertical="center"/>
    </xf>
    <xf numFmtId="1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/>
    </xf>
    <xf numFmtId="1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14" fontId="4" fillId="3" borderId="0" applyAlignment="1" pivotButton="0" quotePrefix="0" xfId="0">
      <alignment horizontal="right" vertical="center"/>
    </xf>
    <xf numFmtId="0" fontId="0" fillId="0" borderId="1" pivotButton="0" quotePrefix="0" xfId="0"/>
    <xf numFmtId="0" fontId="2" fillId="2" borderId="2" applyAlignment="1" pivotButton="0" quotePrefix="0" xfId="1">
      <alignment horizontal="center" vertical="center" wrapText="1"/>
    </xf>
    <xf numFmtId="0" fontId="2" fillId="0" borderId="2" applyAlignment="1" pivotButton="0" quotePrefix="0" xfId="1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5" fontId="4" fillId="3" borderId="0" applyAlignment="1" pivotButton="0" quotePrefix="0" xfId="0">
      <alignment horizontal="right" vertical="center"/>
    </xf>
  </cellXfs>
  <cellStyles count="2">
    <cellStyle name="一般" xfId="0" builtinId="0"/>
    <cellStyle name="一般_Hotai-驗證登錄及能源分級標示目前申請進度表0401" xfId="1"/>
  </cellStyles>
  <dxfs count="126">
    <dxf>
      <fill>
        <patternFill>
          <bgColor theme="0" tint="-0.3499862666707358"/>
        </patternFill>
      </fill>
    </dxf>
    <dxf>
      <fill>
        <patternFill>
          <bgColor rgb="FFFF0000"/>
        </patternFill>
      </fill>
    </dxf>
    <dxf>
      <fill>
        <patternFill>
          <bgColor theme="0" tint="-0.3499862666707358"/>
        </patternFill>
      </fill>
    </dxf>
    <dxf>
      <fill>
        <patternFill>
          <bgColor rgb="FFFF0000"/>
        </patternFill>
      </fill>
    </dxf>
    <dxf>
      <fill>
        <patternFill>
          <bgColor theme="0" tint="-0.3499862666707358"/>
        </patternFill>
      </fill>
    </dxf>
    <dxf>
      <fill>
        <patternFill>
          <bgColor rgb="FFFF0000"/>
        </patternFill>
      </fill>
    </dxf>
    <dxf>
      <fill>
        <patternFill>
          <bgColor theme="0" tint="-0.3499862666707358"/>
        </patternFill>
      </fill>
    </dxf>
    <dxf>
      <fill>
        <patternFill>
          <bgColor rgb="FFFF0000"/>
        </patternFill>
      </fill>
    </dxf>
    <dxf>
      <fill>
        <patternFill>
          <bgColor theme="0" tint="-0.3499862666707358"/>
        </patternFill>
      </fill>
    </dxf>
    <dxf>
      <fill>
        <patternFill>
          <bgColor rgb="FFFF0000"/>
        </patternFill>
      </fill>
    </dxf>
    <dxf>
      <fill>
        <patternFill>
          <bgColor theme="0" tint="-0.3499862666707358"/>
        </patternFill>
      </fill>
    </dxf>
    <dxf>
      <fill>
        <patternFill>
          <bgColor rgb="FFFF0000"/>
        </patternFill>
      </fill>
    </dxf>
    <dxf>
      <fill>
        <patternFill>
          <bgColor theme="0" tint="-0.3499862666707358"/>
        </patternFill>
      </fill>
    </dxf>
    <dxf>
      <fill>
        <patternFill>
          <bgColor rgb="FFFF0000"/>
        </patternFill>
      </fill>
    </dxf>
    <dxf>
      <fill>
        <patternFill>
          <bgColor theme="0" tint="-0.3499862666707358"/>
        </patternFill>
      </fill>
    </dxf>
    <dxf>
      <fill>
        <patternFill>
          <bgColor rgb="FFFF0000"/>
        </patternFill>
      </fill>
    </dxf>
    <dxf>
      <fill>
        <patternFill>
          <bgColor theme="0" tint="-0.3499862666707358"/>
        </patternFill>
      </fill>
    </dxf>
    <dxf>
      <fill>
        <patternFill>
          <bgColor rgb="FFFF0000"/>
        </patternFill>
      </fill>
    </dxf>
    <dxf>
      <fill>
        <patternFill>
          <bgColor theme="0" tint="-0.3499862666707358"/>
        </patternFill>
      </fill>
    </dxf>
    <dxf>
      <fill>
        <patternFill>
          <bgColor rgb="FFFF0000"/>
        </patternFill>
      </fill>
    </dxf>
    <dxf>
      <fill>
        <patternFill>
          <bgColor theme="0" tint="-0.3499862666707358"/>
        </patternFill>
      </fill>
    </dxf>
    <dxf>
      <fill>
        <patternFill>
          <bgColor rgb="FFFF0000"/>
        </patternFill>
      </fill>
    </dxf>
    <dxf>
      <fill>
        <patternFill>
          <bgColor theme="0" tint="-0.3499862666707358"/>
        </patternFill>
      </fill>
    </dxf>
    <dxf>
      <fill>
        <patternFill>
          <bgColor rgb="FFFF0000"/>
        </patternFill>
      </fill>
    </dxf>
    <dxf>
      <fill>
        <patternFill>
          <bgColor theme="0" tint="-0.3499862666707358"/>
        </patternFill>
      </fill>
    </dxf>
    <dxf>
      <fill>
        <patternFill>
          <bgColor rgb="FFFF0000"/>
        </patternFill>
      </fill>
    </dxf>
    <dxf>
      <fill>
        <patternFill>
          <bgColor theme="0" tint="-0.3499862666707358"/>
        </patternFill>
      </fill>
    </dxf>
    <dxf>
      <fill>
        <patternFill>
          <bgColor rgb="FFFF0000"/>
        </patternFill>
      </fill>
    </dxf>
    <dxf>
      <fill>
        <patternFill>
          <bgColor theme="0" tint="-0.3499862666707358"/>
        </patternFill>
      </fill>
    </dxf>
    <dxf>
      <fill>
        <patternFill>
          <bgColor rgb="FFFF0000"/>
        </patternFill>
      </fill>
    </dxf>
    <dxf>
      <fill>
        <patternFill>
          <bgColor theme="0" tint="-0.3499862666707358"/>
        </patternFill>
      </fill>
    </dxf>
    <dxf>
      <fill>
        <patternFill>
          <bgColor rgb="FFFF0000"/>
        </patternFill>
      </fill>
    </dxf>
    <dxf>
      <fill>
        <patternFill>
          <bgColor theme="0" tint="-0.3499862666707358"/>
        </patternFill>
      </fill>
    </dxf>
    <dxf>
      <fill>
        <patternFill>
          <bgColor rgb="FFFF0000"/>
        </patternFill>
      </fill>
    </dxf>
    <dxf>
      <fill>
        <patternFill>
          <bgColor theme="0" tint="-0.3499862666707358"/>
        </patternFill>
      </fill>
    </dxf>
    <dxf>
      <fill>
        <patternFill>
          <bgColor rgb="FFFF0000"/>
        </patternFill>
      </fill>
    </dxf>
    <dxf>
      <fill>
        <patternFill>
          <bgColor theme="0" tint="-0.3499862666707358"/>
        </patternFill>
      </fill>
    </dxf>
    <dxf>
      <fill>
        <patternFill>
          <bgColor rgb="FFFF0000"/>
        </patternFill>
      </fill>
    </dxf>
    <dxf>
      <fill>
        <patternFill>
          <bgColor theme="0" tint="-0.3499862666707358"/>
        </patternFill>
      </fill>
    </dxf>
    <dxf>
      <fill>
        <patternFill>
          <bgColor rgb="FFFF0000"/>
        </patternFill>
      </fill>
    </dxf>
    <dxf>
      <fill>
        <patternFill>
          <bgColor theme="0" tint="-0.3499862666707358"/>
        </patternFill>
      </fill>
    </dxf>
    <dxf>
      <fill>
        <patternFill>
          <bgColor rgb="FFFF0000"/>
        </patternFill>
      </fill>
    </dxf>
    <dxf>
      <fill>
        <patternFill>
          <bgColor theme="0" tint="-0.3499862666707358"/>
        </patternFill>
      </fill>
    </dxf>
    <dxf>
      <fill>
        <patternFill>
          <bgColor rgb="FFFF0000"/>
        </patternFill>
      </fill>
    </dxf>
    <dxf>
      <fill>
        <patternFill>
          <bgColor theme="0" tint="-0.3499862666707358"/>
        </patternFill>
      </fill>
    </dxf>
    <dxf>
      <fill>
        <patternFill>
          <bgColor rgb="FFFF0000"/>
        </patternFill>
      </fill>
    </dxf>
    <dxf>
      <fill>
        <patternFill>
          <bgColor theme="0" tint="-0.3499862666707358"/>
        </patternFill>
      </fill>
    </dxf>
    <dxf>
      <fill>
        <patternFill>
          <bgColor rgb="FFFF0000"/>
        </patternFill>
      </fill>
    </dxf>
    <dxf>
      <fill>
        <patternFill>
          <bgColor theme="0" tint="-0.3499862666707358"/>
        </patternFill>
      </fill>
    </dxf>
    <dxf>
      <fill>
        <patternFill>
          <bgColor rgb="FFFF0000"/>
        </patternFill>
      </fill>
    </dxf>
    <dxf>
      <fill>
        <patternFill>
          <bgColor theme="0" tint="-0.3499862666707358"/>
        </patternFill>
      </fill>
    </dxf>
    <dxf>
      <fill>
        <patternFill>
          <bgColor rgb="FFFF0000"/>
        </patternFill>
      </fill>
    </dxf>
    <dxf>
      <fill>
        <patternFill>
          <bgColor theme="0" tint="-0.3499862666707358"/>
        </patternFill>
      </fill>
    </dxf>
    <dxf>
      <fill>
        <patternFill>
          <bgColor rgb="FFFF0000"/>
        </patternFill>
      </fill>
    </dxf>
    <dxf>
      <fill>
        <patternFill>
          <bgColor theme="0" tint="-0.3499862666707358"/>
        </patternFill>
      </fill>
    </dxf>
    <dxf>
      <fill>
        <patternFill>
          <bgColor rgb="FFFF0000"/>
        </patternFill>
      </fill>
    </dxf>
    <dxf>
      <fill>
        <patternFill>
          <bgColor theme="0" tint="-0.3499862666707358"/>
        </patternFill>
      </fill>
    </dxf>
    <dxf>
      <fill>
        <patternFill>
          <bgColor rgb="FFFF0000"/>
        </patternFill>
      </fill>
    </dxf>
    <dxf>
      <fill>
        <patternFill>
          <bgColor theme="0" tint="-0.3499862666707358"/>
        </patternFill>
      </fill>
    </dxf>
    <dxf>
      <fill>
        <patternFill>
          <bgColor rgb="FFFF0000"/>
        </patternFill>
      </fill>
    </dxf>
    <dxf>
      <fill>
        <patternFill>
          <bgColor theme="0" tint="-0.3499862666707358"/>
        </patternFill>
      </fill>
    </dxf>
    <dxf>
      <fill>
        <patternFill>
          <bgColor rgb="FFFF0000"/>
        </patternFill>
      </fill>
    </dxf>
    <dxf>
      <fill>
        <patternFill>
          <bgColor theme="0" tint="-0.3499862666707358"/>
        </patternFill>
      </fill>
    </dxf>
    <dxf>
      <fill>
        <patternFill>
          <bgColor rgb="FFFF0000"/>
        </patternFill>
      </fill>
    </dxf>
    <dxf>
      <fill>
        <patternFill>
          <bgColor theme="0" tint="-0.3499862666707358"/>
        </patternFill>
      </fill>
    </dxf>
    <dxf>
      <fill>
        <patternFill>
          <bgColor rgb="FFFF0000"/>
        </patternFill>
      </fill>
    </dxf>
    <dxf>
      <fill>
        <patternFill>
          <bgColor theme="0" tint="-0.3499862666707358"/>
        </patternFill>
      </fill>
    </dxf>
    <dxf>
      <fill>
        <patternFill>
          <bgColor rgb="FFFF0000"/>
        </patternFill>
      </fill>
    </dxf>
    <dxf>
      <fill>
        <patternFill>
          <bgColor theme="0" tint="-0.3499862666707358"/>
        </patternFill>
      </fill>
    </dxf>
    <dxf>
      <fill>
        <patternFill>
          <bgColor rgb="FFFF0000"/>
        </patternFill>
      </fill>
    </dxf>
    <dxf>
      <fill>
        <patternFill>
          <bgColor theme="0" tint="-0.3499862666707358"/>
        </patternFill>
      </fill>
    </dxf>
    <dxf>
      <fill>
        <patternFill>
          <bgColor rgb="FFFF0000"/>
        </patternFill>
      </fill>
    </dxf>
    <dxf>
      <fill>
        <patternFill>
          <bgColor theme="0" tint="-0.3499862666707358"/>
        </patternFill>
      </fill>
    </dxf>
    <dxf>
      <fill>
        <patternFill>
          <bgColor rgb="FFFF0000"/>
        </patternFill>
      </fill>
    </dxf>
    <dxf>
      <fill>
        <patternFill>
          <bgColor theme="0" tint="-0.3499862666707358"/>
        </patternFill>
      </fill>
    </dxf>
    <dxf>
      <fill>
        <patternFill>
          <bgColor rgb="FFFF0000"/>
        </patternFill>
      </fill>
    </dxf>
    <dxf>
      <fill>
        <patternFill>
          <bgColor theme="0" tint="-0.3499862666707358"/>
        </patternFill>
      </fill>
    </dxf>
    <dxf>
      <fill>
        <patternFill>
          <bgColor rgb="FFFF0000"/>
        </patternFill>
      </fill>
    </dxf>
    <dxf>
      <fill>
        <patternFill>
          <bgColor theme="0" tint="-0.3499862666707358"/>
        </patternFill>
      </fill>
    </dxf>
    <dxf>
      <fill>
        <patternFill>
          <bgColor rgb="FFFF0000"/>
        </patternFill>
      </fill>
    </dxf>
    <dxf>
      <fill>
        <patternFill>
          <bgColor theme="0" tint="-0.3499862666707358"/>
        </patternFill>
      </fill>
    </dxf>
    <dxf>
      <fill>
        <patternFill>
          <bgColor rgb="FFFF0000"/>
        </patternFill>
      </fill>
    </dxf>
    <dxf>
      <fill>
        <patternFill>
          <bgColor theme="0" tint="-0.3499862666707358"/>
        </patternFill>
      </fill>
    </dxf>
    <dxf>
      <fill>
        <patternFill>
          <bgColor rgb="FFFF0000"/>
        </patternFill>
      </fill>
    </dxf>
    <dxf>
      <fill>
        <patternFill>
          <bgColor theme="0" tint="-0.3499862666707358"/>
        </patternFill>
      </fill>
    </dxf>
    <dxf>
      <fill>
        <patternFill>
          <bgColor rgb="FFFF0000"/>
        </patternFill>
      </fill>
    </dxf>
    <dxf>
      <fill>
        <patternFill>
          <bgColor theme="0" tint="-0.3499862666707358"/>
        </patternFill>
      </fill>
    </dxf>
    <dxf>
      <fill>
        <patternFill>
          <bgColor rgb="FFFF0000"/>
        </patternFill>
      </fill>
    </dxf>
    <dxf>
      <fill>
        <patternFill>
          <bgColor theme="0" tint="-0.3499862666707358"/>
        </patternFill>
      </fill>
    </dxf>
    <dxf>
      <fill>
        <patternFill>
          <bgColor rgb="FFFF0000"/>
        </patternFill>
      </fill>
    </dxf>
    <dxf>
      <fill>
        <patternFill>
          <bgColor theme="0" tint="-0.3499862666707358"/>
        </patternFill>
      </fill>
    </dxf>
    <dxf>
      <fill>
        <patternFill>
          <bgColor rgb="FFFF0000"/>
        </patternFill>
      </fill>
    </dxf>
    <dxf>
      <fill>
        <patternFill>
          <bgColor theme="0" tint="-0.3499862666707358"/>
        </patternFill>
      </fill>
    </dxf>
    <dxf>
      <fill>
        <patternFill>
          <bgColor rgb="FFFF0000"/>
        </patternFill>
      </fill>
    </dxf>
    <dxf>
      <fill>
        <patternFill>
          <bgColor theme="0" tint="-0.3499862666707358"/>
        </patternFill>
      </fill>
    </dxf>
    <dxf>
      <fill>
        <patternFill>
          <bgColor rgb="FFFF0000"/>
        </patternFill>
      </fill>
    </dxf>
    <dxf>
      <fill>
        <patternFill>
          <bgColor theme="0" tint="-0.3499862666707358"/>
        </patternFill>
      </fill>
    </dxf>
    <dxf>
      <fill>
        <patternFill>
          <bgColor rgb="FFFF0000"/>
        </patternFill>
      </fill>
    </dxf>
    <dxf>
      <fill>
        <patternFill>
          <bgColor theme="0" tint="-0.3499862666707358"/>
        </patternFill>
      </fill>
    </dxf>
    <dxf>
      <fill>
        <patternFill>
          <bgColor rgb="FFFF0000"/>
        </patternFill>
      </fill>
    </dxf>
    <dxf>
      <fill>
        <patternFill>
          <bgColor theme="0" tint="-0.3499862666707358"/>
        </patternFill>
      </fill>
    </dxf>
    <dxf>
      <fill>
        <patternFill>
          <bgColor rgb="FFFF0000"/>
        </patternFill>
      </fill>
    </dxf>
    <dxf>
      <fill>
        <patternFill>
          <bgColor theme="0" tint="-0.3499862666707358"/>
        </patternFill>
      </fill>
    </dxf>
    <dxf>
      <fill>
        <patternFill>
          <bgColor rgb="FFFF0000"/>
        </patternFill>
      </fill>
    </dxf>
    <dxf>
      <fill>
        <patternFill>
          <bgColor theme="0" tint="-0.3499862666707358"/>
        </patternFill>
      </fill>
    </dxf>
    <dxf>
      <fill>
        <patternFill>
          <bgColor rgb="FFFF0000"/>
        </patternFill>
      </fill>
    </dxf>
    <dxf>
      <fill>
        <patternFill>
          <bgColor theme="0" tint="-0.3499862666707358"/>
        </patternFill>
      </fill>
    </dxf>
    <dxf>
      <fill>
        <patternFill>
          <bgColor rgb="FFFF0000"/>
        </patternFill>
      </fill>
    </dxf>
    <dxf>
      <fill>
        <patternFill>
          <bgColor theme="0" tint="-0.3499862666707358"/>
        </patternFill>
      </fill>
    </dxf>
    <dxf>
      <fill>
        <patternFill>
          <bgColor rgb="FFFF0000"/>
        </patternFill>
      </fill>
    </dxf>
    <dxf>
      <fill>
        <patternFill>
          <bgColor theme="0" tint="-0.3499862666707358"/>
        </patternFill>
      </fill>
    </dxf>
    <dxf>
      <fill>
        <patternFill>
          <bgColor rgb="FFFF0000"/>
        </patternFill>
      </fill>
    </dxf>
    <dxf>
      <font>
        <b val="1"/>
        <color theme="8" tint="-0.249946592608417"/>
      </font>
      <fill>
        <patternFill>
          <bgColor theme="9" tint="0.7999816888943144"/>
        </patternFill>
      </fill>
    </dxf>
    <dxf>
      <font>
        <b val="1"/>
        <color rgb="FF7030A0"/>
      </font>
      <fill>
        <patternFill>
          <bgColor rgb="FF92D050"/>
        </patternFill>
      </fill>
    </dxf>
    <dxf>
      <font>
        <name val="微軟正黑體"/>
        <charset val="136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right" vertical="center"/>
    </dxf>
    <dxf>
      <font>
        <name val="微軟正黑體"/>
        <charset val="136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0" formatCode="General"/>
      <alignment horizontal="right" vertical="center"/>
    </dxf>
    <dxf>
      <font>
        <name val="微軟正黑體"/>
        <charset val="136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9" formatCode="yyyy/m/d"/>
      <fill>
        <patternFill patternType="solid">
          <fgColor indexed="64"/>
          <bgColor theme="0" tint="-0.249977111117893"/>
        </patternFill>
      </fill>
      <alignment horizontal="right" vertical="center"/>
    </dxf>
    <dxf>
      <font>
        <name val="微軟正黑體"/>
        <charset val="136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right" vertical="center"/>
    </dxf>
    <dxf>
      <font>
        <name val="微軟正黑體"/>
        <charset val="136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right" vertical="center"/>
    </dxf>
    <dxf>
      <font>
        <name val="微軟正黑體"/>
        <charset val="136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right" vertical="center"/>
    </dxf>
    <dxf>
      <font>
        <name val="微軟正黑體"/>
        <charset val="136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right" vertical="center"/>
    </dxf>
    <dxf>
      <font>
        <name val="微軟正黑體"/>
        <charset val="136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right" vertical="center"/>
    </dxf>
    <dxf>
      <border outline="0">
        <top style="thin">
          <color indexed="64"/>
        </top>
      </border>
    </dxf>
    <dxf>
      <font>
        <name val="微軟正黑體"/>
        <charset val="136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right" vertical="center"/>
    </dxf>
    <dxf>
      <border outline="0">
        <bottom style="thin">
          <color indexed="64"/>
        </bottom>
      </border>
    </dxf>
    <dxf>
      <font>
        <name val="微軟正黑體"/>
        <charset val="136"/>
        <family val="2"/>
        <strike val="0"/>
        <outline val="0"/>
        <shadow val="0"/>
        <condense val="0"/>
        <color auto="1"/>
        <extend val="0"/>
        <sz val="12"/>
        <vertAlign val="baseline"/>
      </font>
      <fill>
        <patternFill patternType="solid">
          <fgColor indexed="64"/>
          <bgColor rgb="FF9FD8FF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" displayName="TableA" ref="A1:H150" headerRowCount="1" totalsRowShown="0" headerRowDxfId="125" dataDxfId="123" headerRowBorderDxfId="124" tableBorderDxfId="122" headerRowCellStyle="一般_Hotai-驗證登錄及能源分級標示目前申請進度表0401">
  <autoFilter ref="A1:H148">
    <filterColumn colId="1" hiddenButton="0" showButton="1">
      <filters>
        <filter val="VRV"/>
      </filters>
    </filterColumn>
  </autoFilter>
  <tableColumns count="8">
    <tableColumn id="1" name="實驗室" dataDxfId="121"/>
    <tableColumn id="2" name="類別" dataDxfId="120"/>
    <tableColumn id="3" name="室外機型號" dataDxfId="119"/>
    <tableColumn id="4" name="測試搭配_x000a_(無風管內機型號)" dataDxfId="118"/>
    <tableColumn id="5" name="商品驗證登錄證書編號" dataDxfId="117"/>
    <tableColumn id="6" name="證書有效期限" dataDxfId="116"/>
    <tableColumn id="7" name="SyncKey" dataDxfId="115">
      <calculatedColumnFormula>TableA[[#This Row],[商品驗證登錄證書編號]] &amp; "_" &amp; TableA[[#This Row],[室外機型號]]</calculatedColumnFormula>
    </tableColumn>
    <tableColumn id="8" name="LastUpdate" dataDxfId="1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工作表1">
    <outlinePr summaryBelow="1" summaryRight="1"/>
    <pageSetUpPr/>
  </sheetPr>
  <dimension ref="A1:H150"/>
  <sheetViews>
    <sheetView tabSelected="1" topLeftCell="B137" workbookViewId="0">
      <selection activeCell="E152" sqref="E152"/>
    </sheetView>
  </sheetViews>
  <sheetFormatPr baseColWidth="8" defaultRowHeight="16.2"/>
  <cols>
    <col width="9.44140625" customWidth="1" style="13" min="1" max="1"/>
    <col width="7.33203125" customWidth="1" style="13" min="2" max="2"/>
    <col width="19.88671875" bestFit="1" customWidth="1" style="13" min="3" max="3"/>
    <col width="19.88671875" customWidth="1" style="13" min="4" max="4"/>
    <col width="25.109375" bestFit="1" customWidth="1" style="13" min="5" max="5"/>
    <col width="16.21875" customWidth="1" style="13" min="6" max="6"/>
    <col width="41.109375" bestFit="1" customWidth="1" style="13" min="7" max="7"/>
    <col width="13.33203125" bestFit="1" customWidth="1" style="13" min="8" max="8"/>
  </cols>
  <sheetData>
    <row r="1" ht="31.2" customHeight="1" s="13">
      <c r="A1" s="11" t="inlineStr">
        <is>
          <t>實驗室</t>
        </is>
      </c>
      <c r="B1" s="12" t="inlineStr">
        <is>
          <t>類別</t>
        </is>
      </c>
      <c r="C1" s="11" t="inlineStr">
        <is>
          <t>室外機型號</t>
        </is>
      </c>
      <c r="D1" s="11" t="inlineStr">
        <is>
          <t>測試搭配
(無風管內機型號)</t>
        </is>
      </c>
      <c r="E1" s="11" t="inlineStr">
        <is>
          <t>商品驗證登錄證書編號</t>
        </is>
      </c>
      <c r="F1" s="11" t="inlineStr">
        <is>
          <t>證書有效期限</t>
        </is>
      </c>
      <c r="G1" s="11" t="inlineStr">
        <is>
          <t>SyncKey</t>
        </is>
      </c>
      <c r="H1" s="11" t="inlineStr">
        <is>
          <t>LastUpdate</t>
        </is>
      </c>
    </row>
    <row r="2" hidden="1" s="13">
      <c r="A2" s="10" t="n"/>
      <c r="B2" s="10" t="n"/>
      <c r="C2" s="10" t="n"/>
      <c r="D2" s="10" t="n"/>
      <c r="E2" s="10" t="n"/>
      <c r="F2" s="10" t="n"/>
      <c r="G2" s="8">
        <f>TableA[[#This Row],[商品驗證登錄證書編號]] &amp; "_" &amp; TableA[[#This Row],[室外機型號]]</f>
        <v/>
      </c>
      <c r="H2" s="8" t="n"/>
    </row>
    <row r="3" hidden="1" s="13">
      <c r="A3" s="4" t="inlineStr">
        <is>
          <t>ETC</t>
        </is>
      </c>
      <c r="B3" s="1" t="inlineStr">
        <is>
          <t>RA</t>
        </is>
      </c>
      <c r="C3" s="2" t="inlineStr">
        <is>
          <t>RXV36ZVLT</t>
        </is>
      </c>
      <c r="D3" s="4" t="inlineStr">
        <is>
          <t>FTXV36ZVLT</t>
        </is>
      </c>
      <c r="E3" s="6" t="inlineStr">
        <is>
          <t>CI3A3161862273</t>
        </is>
      </c>
      <c r="F3" s="3" t="n">
        <v>46738</v>
      </c>
      <c r="G3" s="8">
        <f>TableA[[#This Row],[商品驗證登錄證書編號]] &amp; "_" &amp; TableA[[#This Row],[室外機型號]]</f>
        <v/>
      </c>
      <c r="H3" s="8" t="n"/>
    </row>
    <row r="4" hidden="1" s="13">
      <c r="A4" s="4" t="inlineStr">
        <is>
          <t>ETC</t>
        </is>
      </c>
      <c r="B4" s="1" t="inlineStr">
        <is>
          <t>RA</t>
        </is>
      </c>
      <c r="C4" s="4" t="inlineStr">
        <is>
          <t>RXV41ZVLT</t>
        </is>
      </c>
      <c r="D4" s="4" t="inlineStr">
        <is>
          <t>FTXV41ZVLT</t>
        </is>
      </c>
      <c r="E4" s="4" t="inlineStr">
        <is>
          <t>CI3A3161862301</t>
        </is>
      </c>
      <c r="F4" s="15" t="n">
        <v>46747</v>
      </c>
      <c r="G4" s="8">
        <f>TableA[[#This Row],[商品驗證登錄證書編號]] &amp; "_" &amp; TableA[[#This Row],[室外機型號]]</f>
        <v/>
      </c>
      <c r="H4" s="8" t="n"/>
    </row>
    <row r="5" hidden="1" s="13">
      <c r="A5" s="4" t="inlineStr">
        <is>
          <t>ETC</t>
        </is>
      </c>
      <c r="B5" s="1" t="inlineStr">
        <is>
          <t>RA</t>
        </is>
      </c>
      <c r="C5" s="4" t="inlineStr">
        <is>
          <t>RXV50ZVLT</t>
        </is>
      </c>
      <c r="D5" s="4" t="inlineStr">
        <is>
          <t>FTXV50ZVLT</t>
        </is>
      </c>
      <c r="E5" s="4" t="inlineStr">
        <is>
          <t>CI3A3161862301</t>
        </is>
      </c>
      <c r="F5" s="15" t="n">
        <v>46747</v>
      </c>
      <c r="G5" s="8">
        <f>TableA[[#This Row],[商品驗證登錄證書編號]] &amp; "_" &amp; TableA[[#This Row],[室外機型號]]</f>
        <v/>
      </c>
      <c r="H5" s="8" t="n"/>
    </row>
    <row r="6" hidden="1" s="13">
      <c r="A6" s="4" t="inlineStr">
        <is>
          <t>ETC</t>
        </is>
      </c>
      <c r="B6" s="1" t="inlineStr">
        <is>
          <t>RA</t>
        </is>
      </c>
      <c r="C6" s="4" t="inlineStr">
        <is>
          <t>RXV60ZVLT</t>
        </is>
      </c>
      <c r="D6" s="4" t="inlineStr">
        <is>
          <t>FTXV60ZVLT</t>
        </is>
      </c>
      <c r="E6" s="4" t="inlineStr">
        <is>
          <t>CI3A3161862301</t>
        </is>
      </c>
      <c r="F6" s="15" t="n">
        <v>46747</v>
      </c>
      <c r="G6" s="8">
        <f>TableA[[#This Row],[商品驗證登錄證書編號]] &amp; "_" &amp; TableA[[#This Row],[室外機型號]]</f>
        <v/>
      </c>
      <c r="H6" s="8" t="n"/>
    </row>
    <row r="7" hidden="1" s="13">
      <c r="A7" s="4" t="inlineStr">
        <is>
          <t>ETC</t>
        </is>
      </c>
      <c r="B7" s="1" t="inlineStr">
        <is>
          <t>RA</t>
        </is>
      </c>
      <c r="C7" s="4" t="inlineStr">
        <is>
          <t>RXV71ZVLT</t>
        </is>
      </c>
      <c r="D7" s="4" t="inlineStr">
        <is>
          <t>FTXV71ZVLT</t>
        </is>
      </c>
      <c r="E7" s="6" t="inlineStr">
        <is>
          <t>CI3A3161862312</t>
        </is>
      </c>
      <c r="F7" s="3" t="n">
        <v>46751</v>
      </c>
      <c r="G7" s="8">
        <f>TableA[[#This Row],[商品驗證登錄證書編號]] &amp; "_" &amp; TableA[[#This Row],[室外機型號]]</f>
        <v/>
      </c>
      <c r="H7" s="8" t="n"/>
    </row>
    <row r="8" hidden="1" s="13">
      <c r="A8" s="4" t="inlineStr">
        <is>
          <t>TERTEC</t>
        </is>
      </c>
      <c r="B8" s="1" t="inlineStr">
        <is>
          <t>RA</t>
        </is>
      </c>
      <c r="C8" s="4" t="inlineStr">
        <is>
          <t>RHF20VAVLT</t>
        </is>
      </c>
      <c r="D8" s="4" t="inlineStr">
        <is>
          <t>FTHF20VAVLT</t>
        </is>
      </c>
      <c r="E8" s="4" t="inlineStr">
        <is>
          <t>CI3A5261862375</t>
        </is>
      </c>
      <c r="F8" s="15" t="n">
        <v>47159</v>
      </c>
      <c r="G8" s="8">
        <f>TableA[[#This Row],[商品驗證登錄證書編號]] &amp; "_" &amp; TableA[[#This Row],[室外機型號]]</f>
        <v/>
      </c>
      <c r="H8" s="8" t="n"/>
    </row>
    <row r="9" hidden="1" s="13">
      <c r="A9" s="4" t="inlineStr">
        <is>
          <t>TERTEC</t>
        </is>
      </c>
      <c r="B9" s="1" t="inlineStr">
        <is>
          <t>RA</t>
        </is>
      </c>
      <c r="C9" s="4" t="inlineStr">
        <is>
          <t>RHF20ZVLT</t>
        </is>
      </c>
      <c r="D9" s="4" t="inlineStr">
        <is>
          <t>FTHF20ZVLT</t>
        </is>
      </c>
      <c r="E9" s="4" t="inlineStr">
        <is>
          <t>CI3A5261862375</t>
        </is>
      </c>
      <c r="F9" s="15" t="n">
        <v>47159</v>
      </c>
      <c r="G9" s="8">
        <f>TableA[[#This Row],[商品驗證登錄證書編號]] &amp; "_" &amp; TableA[[#This Row],[室外機型號]]</f>
        <v/>
      </c>
      <c r="H9" s="8" t="n"/>
    </row>
    <row r="10" hidden="1" s="13">
      <c r="A10" s="4" t="inlineStr">
        <is>
          <t>TERTEC</t>
        </is>
      </c>
      <c r="B10" s="1" t="inlineStr">
        <is>
          <t>RA</t>
        </is>
      </c>
      <c r="C10" s="4" t="inlineStr">
        <is>
          <t>RHF25VAVLT</t>
        </is>
      </c>
      <c r="D10" s="4" t="inlineStr">
        <is>
          <t>FTHF25VAVLT</t>
        </is>
      </c>
      <c r="E10" s="4" t="inlineStr">
        <is>
          <t>CI3A5261862375</t>
        </is>
      </c>
      <c r="F10" s="15" t="n">
        <v>47159</v>
      </c>
      <c r="G10" s="8">
        <f>TableA[[#This Row],[商品驗證登錄證書編號]] &amp; "_" &amp; TableA[[#This Row],[室外機型號]]</f>
        <v/>
      </c>
      <c r="H10" s="8" t="n"/>
    </row>
    <row r="11" hidden="1" s="13">
      <c r="A11" s="4" t="inlineStr">
        <is>
          <t>TERTEC</t>
        </is>
      </c>
      <c r="B11" s="1" t="inlineStr">
        <is>
          <t>RA</t>
        </is>
      </c>
      <c r="C11" s="4" t="inlineStr">
        <is>
          <t>RHF25ZVLT</t>
        </is>
      </c>
      <c r="D11" s="4" t="inlineStr">
        <is>
          <t>FTHF25ZVLT</t>
        </is>
      </c>
      <c r="E11" s="4" t="inlineStr">
        <is>
          <t>CI3A5261862375</t>
        </is>
      </c>
      <c r="F11" s="15" t="n">
        <v>47159</v>
      </c>
      <c r="G11" s="8">
        <f>TableA[[#This Row],[商品驗證登錄證書編號]] &amp; "_" &amp; TableA[[#This Row],[室外機型號]]</f>
        <v/>
      </c>
      <c r="H11" s="8" t="n"/>
    </row>
    <row r="12" hidden="1" s="13">
      <c r="A12" s="4" t="inlineStr">
        <is>
          <t>TERTEC</t>
        </is>
      </c>
      <c r="B12" s="1" t="inlineStr">
        <is>
          <t>RA</t>
        </is>
      </c>
      <c r="C12" s="4" t="inlineStr">
        <is>
          <t>RHF30VAVLT</t>
        </is>
      </c>
      <c r="D12" s="4" t="inlineStr">
        <is>
          <t>FTHF30VAVLT</t>
        </is>
      </c>
      <c r="E12" s="4" t="inlineStr">
        <is>
          <t>CI3A5261862375</t>
        </is>
      </c>
      <c r="F12" s="15" t="n">
        <v>47159</v>
      </c>
      <c r="G12" s="8">
        <f>TableA[[#This Row],[商品驗證登錄證書編號]] &amp; "_" &amp; TableA[[#This Row],[室外機型號]]</f>
        <v/>
      </c>
      <c r="H12" s="8" t="n"/>
    </row>
    <row r="13" hidden="1" s="13">
      <c r="A13" s="4" t="inlineStr">
        <is>
          <t>TERTEC</t>
        </is>
      </c>
      <c r="B13" s="1" t="inlineStr">
        <is>
          <t>RA</t>
        </is>
      </c>
      <c r="C13" s="4" t="inlineStr">
        <is>
          <t>RHF30ZVLT</t>
        </is>
      </c>
      <c r="D13" s="4" t="inlineStr">
        <is>
          <t>FTHF30ZVLT</t>
        </is>
      </c>
      <c r="E13" s="4" t="inlineStr">
        <is>
          <t>CI3A5261862375</t>
        </is>
      </c>
      <c r="F13" s="15" t="n">
        <v>47159</v>
      </c>
      <c r="G13" s="8">
        <f>TableA[[#This Row],[商品驗證登錄證書編號]] &amp; "_" &amp; TableA[[#This Row],[室外機型號]]</f>
        <v/>
      </c>
      <c r="H13" s="8" t="n"/>
    </row>
    <row r="14" hidden="1" s="13">
      <c r="A14" s="4" t="inlineStr">
        <is>
          <t>TERTEC</t>
        </is>
      </c>
      <c r="B14" s="1" t="inlineStr">
        <is>
          <t>RA</t>
        </is>
      </c>
      <c r="C14" s="4" t="inlineStr">
        <is>
          <t>RHF40VAVLT</t>
        </is>
      </c>
      <c r="D14" s="4" t="inlineStr">
        <is>
          <t>FTHF40VAVLT</t>
        </is>
      </c>
      <c r="E14" s="4" t="inlineStr">
        <is>
          <t>CI3A5261862386</t>
        </is>
      </c>
      <c r="F14" s="5" t="n">
        <v>47159</v>
      </c>
      <c r="G14" s="8">
        <f>TableA[[#This Row],[商品驗證登錄證書編號]] &amp; "_" &amp; TableA[[#This Row],[室外機型號]]</f>
        <v/>
      </c>
      <c r="H14" s="8" t="n"/>
    </row>
    <row r="15" hidden="1" s="13">
      <c r="A15" s="4" t="inlineStr">
        <is>
          <t>TERTEC</t>
        </is>
      </c>
      <c r="B15" s="1" t="inlineStr">
        <is>
          <t>RA</t>
        </is>
      </c>
      <c r="C15" s="4" t="inlineStr">
        <is>
          <t>RHF40VVLT</t>
        </is>
      </c>
      <c r="D15" s="4" t="inlineStr">
        <is>
          <t>FTHF40VVLT</t>
        </is>
      </c>
      <c r="E15" s="4" t="inlineStr">
        <is>
          <t>CI3A5261862386</t>
        </is>
      </c>
      <c r="F15" s="5" t="n">
        <v>47159</v>
      </c>
      <c r="G15" s="8">
        <f>TableA[[#This Row],[商品驗證登錄證書編號]] &amp; "_" &amp; TableA[[#This Row],[室外機型號]]</f>
        <v/>
      </c>
      <c r="H15" s="8" t="n"/>
    </row>
    <row r="16" hidden="1" s="13">
      <c r="A16" s="4" t="inlineStr">
        <is>
          <t>TERTEC</t>
        </is>
      </c>
      <c r="B16" s="1" t="inlineStr">
        <is>
          <t>RA</t>
        </is>
      </c>
      <c r="C16" s="4" t="inlineStr">
        <is>
          <t>RHF40ZVLT</t>
        </is>
      </c>
      <c r="D16" s="4" t="inlineStr">
        <is>
          <t>FTHF40ZVLT</t>
        </is>
      </c>
      <c r="E16" s="4" t="inlineStr">
        <is>
          <t>CI3A5261862386</t>
        </is>
      </c>
      <c r="F16" s="5" t="n">
        <v>47159</v>
      </c>
      <c r="G16" s="8">
        <f>TableA[[#This Row],[商品驗證登錄證書編號]] &amp; "_" &amp; TableA[[#This Row],[室外機型號]]</f>
        <v/>
      </c>
      <c r="H16" s="8" t="n"/>
    </row>
    <row r="17" hidden="1" s="13">
      <c r="A17" s="4" t="inlineStr">
        <is>
          <t>TERTEC</t>
        </is>
      </c>
      <c r="B17" s="1" t="inlineStr">
        <is>
          <t>RA</t>
        </is>
      </c>
      <c r="C17" s="4" t="inlineStr">
        <is>
          <t>RHF50VAVLT</t>
        </is>
      </c>
      <c r="D17" s="4" t="inlineStr">
        <is>
          <t>FTHF50VAVLT</t>
        </is>
      </c>
      <c r="E17" s="4" t="inlineStr">
        <is>
          <t>CI3A5261862386</t>
        </is>
      </c>
      <c r="F17" s="5" t="n">
        <v>47159</v>
      </c>
      <c r="G17" s="8">
        <f>TableA[[#This Row],[商品驗證登錄證書編號]] &amp; "_" &amp; TableA[[#This Row],[室外機型號]]</f>
        <v/>
      </c>
      <c r="H17" s="8" t="n"/>
    </row>
    <row r="18" hidden="1" s="13">
      <c r="A18" s="4" t="inlineStr">
        <is>
          <t>TERTEC</t>
        </is>
      </c>
      <c r="B18" s="1" t="inlineStr">
        <is>
          <t>RA</t>
        </is>
      </c>
      <c r="C18" s="4" t="inlineStr">
        <is>
          <t>RHF50VVLT</t>
        </is>
      </c>
      <c r="D18" s="4" t="inlineStr">
        <is>
          <t>FTHF50VVLT</t>
        </is>
      </c>
      <c r="E18" s="4" t="inlineStr">
        <is>
          <t>CI3A5261862386</t>
        </is>
      </c>
      <c r="F18" s="5" t="n">
        <v>47159</v>
      </c>
      <c r="G18" s="8">
        <f>TableA[[#This Row],[商品驗證登錄證書編號]] &amp; "_" &amp; TableA[[#This Row],[室外機型號]]</f>
        <v/>
      </c>
      <c r="H18" s="8" t="n"/>
    </row>
    <row r="19" hidden="1" s="13">
      <c r="A19" s="4" t="inlineStr">
        <is>
          <t>TERTEC</t>
        </is>
      </c>
      <c r="B19" s="1" t="inlineStr">
        <is>
          <t>RA</t>
        </is>
      </c>
      <c r="C19" s="4" t="inlineStr">
        <is>
          <t>RHF50ZVLT</t>
        </is>
      </c>
      <c r="D19" s="4" t="inlineStr">
        <is>
          <t>FTHF50ZVLT</t>
        </is>
      </c>
      <c r="E19" s="4" t="inlineStr">
        <is>
          <t>CI3A5261862386</t>
        </is>
      </c>
      <c r="F19" s="5" t="n">
        <v>47159</v>
      </c>
      <c r="G19" s="8">
        <f>TableA[[#This Row],[商品驗證登錄證書編號]] &amp; "_" &amp; TableA[[#This Row],[室外機型號]]</f>
        <v/>
      </c>
      <c r="H19" s="8" t="n"/>
    </row>
    <row r="20" hidden="1" s="13">
      <c r="A20" s="4" t="inlineStr">
        <is>
          <t>TERTEC</t>
        </is>
      </c>
      <c r="B20" s="1" t="inlineStr">
        <is>
          <t>RA</t>
        </is>
      </c>
      <c r="C20" s="4" t="inlineStr">
        <is>
          <t>RHF60VVLT</t>
        </is>
      </c>
      <c r="D20" s="4" t="inlineStr">
        <is>
          <t>FTHF60VVLT</t>
        </is>
      </c>
      <c r="E20" s="4" t="inlineStr">
        <is>
          <t>CI3A5261862386</t>
        </is>
      </c>
      <c r="F20" s="5" t="n">
        <v>47159</v>
      </c>
      <c r="G20" s="8">
        <f>TableA[[#This Row],[商品驗證登錄證書編號]] &amp; "_" &amp; TableA[[#This Row],[室外機型號]]</f>
        <v/>
      </c>
      <c r="H20" s="8" t="n"/>
    </row>
    <row r="21" hidden="1" s="13">
      <c r="A21" s="4" t="inlineStr">
        <is>
          <t>TERTEC</t>
        </is>
      </c>
      <c r="B21" s="1" t="inlineStr">
        <is>
          <t>RA</t>
        </is>
      </c>
      <c r="C21" s="4" t="inlineStr">
        <is>
          <t>RHF60VAVLT</t>
        </is>
      </c>
      <c r="D21" s="4" t="inlineStr">
        <is>
          <t>FTHF60VAVLT</t>
        </is>
      </c>
      <c r="E21" s="4" t="inlineStr">
        <is>
          <t>CI3A5261862386</t>
        </is>
      </c>
      <c r="F21" s="5" t="n">
        <v>47159</v>
      </c>
      <c r="G21" s="8">
        <f>TableA[[#This Row],[商品驗證登錄證書編號]] &amp; "_" &amp; TableA[[#This Row],[室外機型號]]</f>
        <v/>
      </c>
      <c r="H21" s="8" t="n"/>
    </row>
    <row r="22" hidden="1" s="13">
      <c r="A22" s="4" t="inlineStr">
        <is>
          <t>TERTEC</t>
        </is>
      </c>
      <c r="B22" s="1" t="inlineStr">
        <is>
          <t>RA</t>
        </is>
      </c>
      <c r="C22" s="4" t="inlineStr">
        <is>
          <t>RHF60ZVLT</t>
        </is>
      </c>
      <c r="D22" s="4" t="inlineStr">
        <is>
          <t>FTHF60ZVLT</t>
        </is>
      </c>
      <c r="E22" s="4" t="inlineStr">
        <is>
          <t>CI3A5261862386</t>
        </is>
      </c>
      <c r="F22" s="5" t="n">
        <v>47159</v>
      </c>
      <c r="G22" s="8">
        <f>TableA[[#This Row],[商品驗證登錄證書編號]] &amp; "_" &amp; TableA[[#This Row],[室外機型號]]</f>
        <v/>
      </c>
      <c r="H22" s="8" t="n"/>
    </row>
    <row r="23" hidden="1" s="13">
      <c r="A23" s="4" t="inlineStr">
        <is>
          <t>TERTEC</t>
        </is>
      </c>
      <c r="B23" s="1" t="inlineStr">
        <is>
          <t>RA</t>
        </is>
      </c>
      <c r="C23" s="4" t="inlineStr">
        <is>
          <t>RHF71VVLT</t>
        </is>
      </c>
      <c r="D23" s="4" t="inlineStr">
        <is>
          <t>FTHF71VVLT</t>
        </is>
      </c>
      <c r="E23" s="4" t="inlineStr">
        <is>
          <t>CI3A5261862397</t>
        </is>
      </c>
      <c r="F23" s="5" t="n">
        <v>47159</v>
      </c>
      <c r="G23" s="8">
        <f>TableA[[#This Row],[商品驗證登錄證書編號]] &amp; "_" &amp; TableA[[#This Row],[室外機型號]]</f>
        <v/>
      </c>
      <c r="H23" s="8" t="n"/>
    </row>
    <row r="24" hidden="1" s="13">
      <c r="A24" s="4" t="inlineStr">
        <is>
          <t>TERTEC</t>
        </is>
      </c>
      <c r="B24" s="1" t="inlineStr">
        <is>
          <t>RA</t>
        </is>
      </c>
      <c r="C24" s="4" t="inlineStr">
        <is>
          <t>RHF71VAVLT</t>
        </is>
      </c>
      <c r="D24" s="4" t="inlineStr">
        <is>
          <t>FTHF71VAVLT</t>
        </is>
      </c>
      <c r="E24" s="4" t="inlineStr">
        <is>
          <t>CI3A5261862397</t>
        </is>
      </c>
      <c r="F24" s="5" t="n">
        <v>47159</v>
      </c>
      <c r="G24" s="8">
        <f>TableA[[#This Row],[商品驗證登錄證書編號]] &amp; "_" &amp; TableA[[#This Row],[室外機型號]]</f>
        <v/>
      </c>
      <c r="H24" s="8" t="n"/>
    </row>
    <row r="25" hidden="1" s="13">
      <c r="A25" s="4" t="inlineStr">
        <is>
          <t>TERTEC</t>
        </is>
      </c>
      <c r="B25" s="1" t="inlineStr">
        <is>
          <t>RA</t>
        </is>
      </c>
      <c r="C25" s="4" t="inlineStr">
        <is>
          <t>RHF71ZVLT</t>
        </is>
      </c>
      <c r="D25" s="4" t="inlineStr">
        <is>
          <t>FTHF71ZVLT</t>
        </is>
      </c>
      <c r="E25" s="4" t="inlineStr">
        <is>
          <t>CI3A5261862397</t>
        </is>
      </c>
      <c r="F25" s="5" t="n">
        <v>47159</v>
      </c>
      <c r="G25" s="8">
        <f>TableA[[#This Row],[商品驗證登錄證書編號]] &amp; "_" &amp; TableA[[#This Row],[室外機型號]]</f>
        <v/>
      </c>
      <c r="H25" s="8" t="n"/>
    </row>
    <row r="26" hidden="1" s="13">
      <c r="A26" s="4" t="inlineStr">
        <is>
          <t>TERTEC</t>
        </is>
      </c>
      <c r="B26" s="1" t="inlineStr">
        <is>
          <t>RA</t>
        </is>
      </c>
      <c r="C26" s="4" t="inlineStr">
        <is>
          <t>RKF71XVLT</t>
        </is>
      </c>
      <c r="D26" s="4" t="inlineStr">
        <is>
          <t>FAA71XVLT</t>
        </is>
      </c>
      <c r="E26" s="4" t="inlineStr">
        <is>
          <t>CI3A5261862397</t>
        </is>
      </c>
      <c r="F26" s="5" t="n">
        <v>47159</v>
      </c>
      <c r="G26" s="8">
        <f>TableA[[#This Row],[商品驗證登錄證書編號]] &amp; "_" &amp; TableA[[#This Row],[室外機型號]]</f>
        <v/>
      </c>
      <c r="H26" s="8" t="n"/>
    </row>
    <row r="27" hidden="1" s="13">
      <c r="A27" s="4" t="inlineStr">
        <is>
          <t>ETC</t>
        </is>
      </c>
      <c r="B27" s="1" t="inlineStr">
        <is>
          <t>RA</t>
        </is>
      </c>
      <c r="C27" s="4" t="inlineStr">
        <is>
          <t>RXM22ZVLT</t>
        </is>
      </c>
      <c r="D27" s="4" t="inlineStr">
        <is>
          <t>FTXM22ZVLT</t>
        </is>
      </c>
      <c r="E27" s="4" t="inlineStr">
        <is>
          <t>CI3A3161862171</t>
        </is>
      </c>
      <c r="F27" s="5" t="n">
        <v>46670</v>
      </c>
      <c r="G27" s="8">
        <f>TableA[[#This Row],[商品驗證登錄證書編號]] &amp; "_" &amp; TableA[[#This Row],[室外機型號]]</f>
        <v/>
      </c>
      <c r="H27" s="8" t="n"/>
    </row>
    <row r="28" hidden="1" s="13">
      <c r="A28" s="4" t="inlineStr">
        <is>
          <t>ETC</t>
        </is>
      </c>
      <c r="B28" s="1" t="inlineStr">
        <is>
          <t>RA</t>
        </is>
      </c>
      <c r="C28" s="4" t="inlineStr">
        <is>
          <t>RXM28ZVLT</t>
        </is>
      </c>
      <c r="D28" s="4" t="inlineStr">
        <is>
          <t>FTXM28ZVLT</t>
        </is>
      </c>
      <c r="E28" s="4" t="inlineStr">
        <is>
          <t>CI3A3161862171</t>
        </is>
      </c>
      <c r="F28" s="5" t="n">
        <v>46670</v>
      </c>
      <c r="G28" s="8">
        <f>TableA[[#This Row],[商品驗證登錄證書編號]] &amp; "_" &amp; TableA[[#This Row],[室外機型號]]</f>
        <v/>
      </c>
      <c r="H28" s="8" t="n"/>
    </row>
    <row r="29" hidden="1" s="13">
      <c r="A29" s="4" t="inlineStr">
        <is>
          <t>ETC</t>
        </is>
      </c>
      <c r="B29" s="1" t="inlineStr">
        <is>
          <t>RA</t>
        </is>
      </c>
      <c r="C29" s="4" t="inlineStr">
        <is>
          <t>RXM36ZVLT</t>
        </is>
      </c>
      <c r="D29" s="4" t="inlineStr">
        <is>
          <t>FTXM36ZVLT</t>
        </is>
      </c>
      <c r="E29" s="4" t="inlineStr">
        <is>
          <t>CI3A3161862182</t>
        </is>
      </c>
      <c r="F29" s="5" t="n">
        <v>46675</v>
      </c>
      <c r="G29" s="8">
        <f>TableA[[#This Row],[商品驗證登錄證書編號]] &amp; "_" &amp; TableA[[#This Row],[室外機型號]]</f>
        <v/>
      </c>
      <c r="H29" s="8" t="n"/>
    </row>
    <row r="30" hidden="1" s="13">
      <c r="A30" s="4" t="inlineStr">
        <is>
          <t>ETC</t>
        </is>
      </c>
      <c r="B30" s="1" t="inlineStr">
        <is>
          <t>RA</t>
        </is>
      </c>
      <c r="C30" s="4" t="inlineStr">
        <is>
          <t>RXM41ZVLT</t>
        </is>
      </c>
      <c r="D30" s="4" t="inlineStr">
        <is>
          <t>FTXM41ZVLT</t>
        </is>
      </c>
      <c r="E30" s="4" t="inlineStr">
        <is>
          <t>CI3A3161862193</t>
        </is>
      </c>
      <c r="F30" s="5" t="n">
        <v>46687</v>
      </c>
      <c r="G30" s="8">
        <f>TableA[[#This Row],[商品驗證登錄證書編號]] &amp; "_" &amp; TableA[[#This Row],[室外機型號]]</f>
        <v/>
      </c>
      <c r="H30" s="8" t="n"/>
    </row>
    <row r="31" hidden="1" s="13">
      <c r="A31" s="4" t="inlineStr">
        <is>
          <t>ETC</t>
        </is>
      </c>
      <c r="B31" s="1" t="inlineStr">
        <is>
          <t>RA</t>
        </is>
      </c>
      <c r="C31" s="4" t="inlineStr">
        <is>
          <t>RXM50ZVLT</t>
        </is>
      </c>
      <c r="D31" s="4" t="inlineStr">
        <is>
          <t>FTXM50ZVLT</t>
        </is>
      </c>
      <c r="E31" s="4" t="inlineStr">
        <is>
          <t>CI3A3161862193</t>
        </is>
      </c>
      <c r="F31" s="5" t="n">
        <v>46687</v>
      </c>
      <c r="G31" s="8">
        <f>TableA[[#This Row],[商品驗證登錄證書編號]] &amp; "_" &amp; TableA[[#This Row],[室外機型號]]</f>
        <v/>
      </c>
      <c r="H31" s="8" t="n"/>
    </row>
    <row r="32" hidden="1" s="13">
      <c r="A32" s="4" t="inlineStr">
        <is>
          <t>ETC</t>
        </is>
      </c>
      <c r="B32" s="1" t="inlineStr">
        <is>
          <t>RA</t>
        </is>
      </c>
      <c r="C32" s="4" t="inlineStr">
        <is>
          <t>RXM60ZVLT</t>
        </is>
      </c>
      <c r="D32" s="4" t="inlineStr">
        <is>
          <t>FTXM60ZVLT</t>
        </is>
      </c>
      <c r="E32" s="4" t="inlineStr">
        <is>
          <t>CI3A3161862221</t>
        </is>
      </c>
      <c r="F32" s="5" t="n">
        <v>46696</v>
      </c>
      <c r="G32" s="8">
        <f>TableA[[#This Row],[商品驗證登錄證書編號]] &amp; "_" &amp; TableA[[#This Row],[室外機型號]]</f>
        <v/>
      </c>
      <c r="H32" s="8" t="n"/>
    </row>
    <row r="33" hidden="1" s="13">
      <c r="A33" s="4" t="inlineStr">
        <is>
          <t>ETC</t>
        </is>
      </c>
      <c r="B33" s="1" t="inlineStr">
        <is>
          <t>RA</t>
        </is>
      </c>
      <c r="C33" s="4" t="inlineStr">
        <is>
          <t>RXM71ZVLT</t>
        </is>
      </c>
      <c r="D33" s="4" t="inlineStr">
        <is>
          <t>FTXM71ZVLT</t>
        </is>
      </c>
      <c r="E33" s="4" t="inlineStr">
        <is>
          <t>CI3A3161862232</t>
        </is>
      </c>
      <c r="F33" s="5" t="n">
        <v>46698</v>
      </c>
      <c r="G33" s="8">
        <f>TableA[[#This Row],[商品驗證登錄證書編號]] &amp; "_" &amp; TableA[[#This Row],[室外機型號]]</f>
        <v/>
      </c>
      <c r="H33" s="8" t="n"/>
    </row>
    <row r="34" hidden="1" s="13">
      <c r="A34" s="4" t="inlineStr">
        <is>
          <t>ETC</t>
        </is>
      </c>
      <c r="B34" s="1" t="inlineStr">
        <is>
          <t>RA</t>
        </is>
      </c>
      <c r="C34" s="4" t="inlineStr">
        <is>
          <t>RXM80ZVLT</t>
        </is>
      </c>
      <c r="D34" s="4" t="inlineStr">
        <is>
          <t>FTXM80ZVLT</t>
        </is>
      </c>
      <c r="E34" s="4" t="inlineStr">
        <is>
          <t>CI3A3161862240</t>
        </is>
      </c>
      <c r="F34" s="5" t="n">
        <v>46698</v>
      </c>
      <c r="G34" s="8">
        <f>TableA[[#This Row],[商品驗證登錄證書編號]] &amp; "_" &amp; TableA[[#This Row],[室外機型號]]</f>
        <v/>
      </c>
      <c r="H34" s="8" t="n"/>
    </row>
    <row r="35" hidden="1" s="13">
      <c r="A35" s="4" t="inlineStr">
        <is>
          <t>ETC</t>
        </is>
      </c>
      <c r="B35" s="1" t="inlineStr">
        <is>
          <t>RA</t>
        </is>
      </c>
      <c r="C35" s="4" t="inlineStr">
        <is>
          <t>RXM90ZVLT</t>
        </is>
      </c>
      <c r="D35" s="4" t="inlineStr">
        <is>
          <t>FTXM90ZVLT</t>
        </is>
      </c>
      <c r="E35" s="4" t="inlineStr">
        <is>
          <t>CI3A3161862240</t>
        </is>
      </c>
      <c r="F35" s="5" t="n">
        <v>46698</v>
      </c>
      <c r="G35" s="8">
        <f>TableA[[#This Row],[商品驗證登錄證書編號]] &amp; "_" &amp; TableA[[#This Row],[室外機型號]]</f>
        <v/>
      </c>
      <c r="H35" s="8" t="n"/>
    </row>
    <row r="36" hidden="1" s="13">
      <c r="A36" s="4" t="inlineStr">
        <is>
          <t>MIRDC</t>
        </is>
      </c>
      <c r="B36" s="1" t="inlineStr">
        <is>
          <t>RA</t>
        </is>
      </c>
      <c r="C36" s="4" t="inlineStr">
        <is>
          <t>RXM22YVLT</t>
        </is>
      </c>
      <c r="D36" s="4" t="inlineStr">
        <is>
          <t>FTXM22YVLT</t>
        </is>
      </c>
      <c r="E36" s="4" t="inlineStr">
        <is>
          <t>CI3A2561862024</t>
        </is>
      </c>
      <c r="F36" s="5" t="n">
        <v>46388</v>
      </c>
      <c r="G36" s="8">
        <f>TableA[[#This Row],[商品驗證登錄證書編號]] &amp; "_" &amp; TableA[[#This Row],[室外機型號]]</f>
        <v/>
      </c>
      <c r="H36" s="8" t="n"/>
    </row>
    <row r="37" hidden="1" s="13">
      <c r="A37" s="4" t="inlineStr">
        <is>
          <t>MIRDC</t>
        </is>
      </c>
      <c r="B37" s="1" t="inlineStr">
        <is>
          <t>RA</t>
        </is>
      </c>
      <c r="C37" s="4" t="inlineStr">
        <is>
          <t>RXM28YVLT</t>
        </is>
      </c>
      <c r="D37" s="4" t="inlineStr">
        <is>
          <t>FTXM28YVLT</t>
        </is>
      </c>
      <c r="E37" s="4" t="inlineStr">
        <is>
          <t>CI3A2561862024</t>
        </is>
      </c>
      <c r="F37" s="5" t="n">
        <v>46388</v>
      </c>
      <c r="G37" s="8">
        <f>TableA[[#This Row],[商品驗證登錄證書編號]] &amp; "_" &amp; TableA[[#This Row],[室外機型號]]</f>
        <v/>
      </c>
      <c r="H37" s="8" t="n"/>
    </row>
    <row r="38" hidden="1" s="13">
      <c r="A38" s="4" t="inlineStr">
        <is>
          <t>MIRDC</t>
        </is>
      </c>
      <c r="B38" s="1" t="inlineStr">
        <is>
          <t>RA</t>
        </is>
      </c>
      <c r="C38" s="4" t="inlineStr">
        <is>
          <t>RXM36YVLT</t>
        </is>
      </c>
      <c r="D38" s="4" t="inlineStr">
        <is>
          <t>FTXM36YVLT</t>
        </is>
      </c>
      <c r="E38" s="4" t="inlineStr">
        <is>
          <t>CI3A2561862024</t>
        </is>
      </c>
      <c r="F38" s="5" t="n">
        <v>46388</v>
      </c>
      <c r="G38" s="8">
        <f>TableA[[#This Row],[商品驗證登錄證書編號]] &amp; "_" &amp; TableA[[#This Row],[室外機型號]]</f>
        <v/>
      </c>
      <c r="H38" s="8" t="n"/>
    </row>
    <row r="39" hidden="1" s="13">
      <c r="A39" s="4" t="inlineStr">
        <is>
          <t>MIRDC</t>
        </is>
      </c>
      <c r="B39" s="1" t="inlineStr">
        <is>
          <t>RA</t>
        </is>
      </c>
      <c r="C39" s="4" t="inlineStr">
        <is>
          <t>RXM41YVLT</t>
        </is>
      </c>
      <c r="D39" s="4" t="inlineStr">
        <is>
          <t>FTXM41YVLT</t>
        </is>
      </c>
      <c r="E39" s="4" t="inlineStr">
        <is>
          <t>CI3A2561862013</t>
        </is>
      </c>
      <c r="F39" s="5" t="n">
        <v>46389</v>
      </c>
      <c r="G39" s="8">
        <f>TableA[[#This Row],[商品驗證登錄證書編號]] &amp; "_" &amp; TableA[[#This Row],[室外機型號]]</f>
        <v/>
      </c>
      <c r="H39" s="8" t="n"/>
    </row>
    <row r="40" hidden="1" s="13">
      <c r="A40" s="4" t="inlineStr">
        <is>
          <t>MIRDC</t>
        </is>
      </c>
      <c r="B40" s="1" t="inlineStr">
        <is>
          <t>RA</t>
        </is>
      </c>
      <c r="C40" s="4" t="inlineStr">
        <is>
          <t>RXM50YVLT</t>
        </is>
      </c>
      <c r="D40" s="4" t="inlineStr">
        <is>
          <t>FTXM50YVLT</t>
        </is>
      </c>
      <c r="E40" s="4" t="inlineStr">
        <is>
          <t>CI3A2561862002</t>
        </is>
      </c>
      <c r="F40" s="5" t="n">
        <v>46388</v>
      </c>
      <c r="G40" s="8">
        <f>TableA[[#This Row],[商品驗證登錄證書編號]] &amp; "_" &amp; TableA[[#This Row],[室外機型號]]</f>
        <v/>
      </c>
      <c r="H40" s="8" t="n"/>
    </row>
    <row r="41" hidden="1" s="13">
      <c r="A41" s="4" t="inlineStr">
        <is>
          <t>MIRDC</t>
        </is>
      </c>
      <c r="B41" s="1" t="inlineStr">
        <is>
          <t>RA</t>
        </is>
      </c>
      <c r="C41" s="4" t="inlineStr">
        <is>
          <t>RXM60YVLT</t>
        </is>
      </c>
      <c r="D41" s="4" t="inlineStr">
        <is>
          <t>FTXM60YVLT</t>
        </is>
      </c>
      <c r="E41" s="4" t="inlineStr">
        <is>
          <t>CI3A2561862002</t>
        </is>
      </c>
      <c r="F41" s="5" t="n">
        <v>46388</v>
      </c>
      <c r="G41" s="8">
        <f>TableA[[#This Row],[商品驗證登錄證書編號]] &amp; "_" &amp; TableA[[#This Row],[室外機型號]]</f>
        <v/>
      </c>
      <c r="H41" s="8" t="n"/>
    </row>
    <row r="42" hidden="1" s="13">
      <c r="A42" s="4" t="inlineStr">
        <is>
          <t>MIRDC</t>
        </is>
      </c>
      <c r="B42" s="1" t="inlineStr">
        <is>
          <t>RA</t>
        </is>
      </c>
      <c r="C42" s="4" t="inlineStr">
        <is>
          <t>RXM71YVLT</t>
        </is>
      </c>
      <c r="D42" s="4" t="inlineStr">
        <is>
          <t>FTXM71YVLT</t>
        </is>
      </c>
      <c r="E42" s="4" t="inlineStr">
        <is>
          <t>CI3A2561861990</t>
        </is>
      </c>
      <c r="F42" s="5" t="n">
        <v>46388</v>
      </c>
      <c r="G42" s="8">
        <f>TableA[[#This Row],[商品驗證登錄證書編號]] &amp; "_" &amp; TableA[[#This Row],[室外機型號]]</f>
        <v/>
      </c>
      <c r="H42" s="8" t="n"/>
    </row>
    <row r="43" hidden="1" s="13">
      <c r="A43" s="4" t="inlineStr">
        <is>
          <t>TERTEC</t>
        </is>
      </c>
      <c r="B43" s="4" t="inlineStr">
        <is>
          <t>MA</t>
        </is>
      </c>
      <c r="C43" s="4" t="inlineStr">
        <is>
          <t>3MXM90PVLT</t>
        </is>
      </c>
      <c r="D43" s="4" t="n"/>
      <c r="E43" s="4" t="inlineStr">
        <is>
          <t>CI3A2261861837</t>
        </is>
      </c>
      <c r="F43" s="5" t="n">
        <v>46187</v>
      </c>
      <c r="G43" s="8">
        <f>TableA[[#This Row],[商品驗證登錄證書編號]] &amp; "_" &amp; TableA[[#This Row],[室外機型號]]</f>
        <v/>
      </c>
      <c r="H43" s="8" t="n"/>
    </row>
    <row r="44" hidden="1" s="13">
      <c r="A44" s="4" t="inlineStr">
        <is>
          <t>TERTEC</t>
        </is>
      </c>
      <c r="B44" s="4" t="inlineStr">
        <is>
          <t>MA</t>
        </is>
      </c>
      <c r="C44" s="4" t="inlineStr">
        <is>
          <t>3MXM90RVLT</t>
        </is>
      </c>
      <c r="D44" s="6" t="n"/>
      <c r="E44" s="4" t="inlineStr">
        <is>
          <t>CI3A2261861837</t>
        </is>
      </c>
      <c r="F44" s="5" t="n">
        <v>46187</v>
      </c>
      <c r="G44" s="8">
        <f>TableA[[#This Row],[商品驗證登錄證書編號]] &amp; "_" &amp; TableA[[#This Row],[室外機型號]]</f>
        <v/>
      </c>
      <c r="H44" s="8" t="n"/>
    </row>
    <row r="45" hidden="1" s="13">
      <c r="A45" s="4" t="inlineStr">
        <is>
          <t>TERTEC</t>
        </is>
      </c>
      <c r="B45" s="4" t="inlineStr">
        <is>
          <t>MA</t>
        </is>
      </c>
      <c r="C45" s="4" t="inlineStr">
        <is>
          <t>2MXM56PVLT</t>
        </is>
      </c>
      <c r="D45" s="4" t="n"/>
      <c r="E45" s="4" t="inlineStr">
        <is>
          <t>CI3A2261861848</t>
        </is>
      </c>
      <c r="F45" s="5" t="n">
        <v>46192</v>
      </c>
      <c r="G45" s="8">
        <f>TableA[[#This Row],[商品驗證登錄證書編號]] &amp; "_" &amp; TableA[[#This Row],[室外機型號]]</f>
        <v/>
      </c>
      <c r="H45" s="8" t="n"/>
    </row>
    <row r="46" hidden="1" s="13">
      <c r="A46" s="4" t="inlineStr">
        <is>
          <t>TERTEC</t>
        </is>
      </c>
      <c r="B46" s="4" t="inlineStr">
        <is>
          <t>MA</t>
        </is>
      </c>
      <c r="C46" s="4" t="inlineStr">
        <is>
          <t>2MXM56RVLT</t>
        </is>
      </c>
      <c r="D46" s="6" t="n"/>
      <c r="E46" s="4" t="inlineStr">
        <is>
          <t>CI3A2261861848</t>
        </is>
      </c>
      <c r="F46" s="5" t="n">
        <v>46192</v>
      </c>
      <c r="G46" s="8">
        <f>TableA[[#This Row],[商品驗證登錄證書編號]] &amp; "_" &amp; TableA[[#This Row],[室外機型號]]</f>
        <v/>
      </c>
      <c r="H46" s="8" t="n"/>
    </row>
    <row r="47" hidden="1" s="13">
      <c r="A47" s="4" t="inlineStr">
        <is>
          <t>TERTEC</t>
        </is>
      </c>
      <c r="B47" s="4" t="inlineStr">
        <is>
          <t>MA</t>
        </is>
      </c>
      <c r="C47" s="4" t="inlineStr">
        <is>
          <t>2MXM75PVLT</t>
        </is>
      </c>
      <c r="D47" s="4" t="n"/>
      <c r="E47" s="4" t="inlineStr">
        <is>
          <t>CI3A2261861848</t>
        </is>
      </c>
      <c r="F47" s="5" t="n">
        <v>46192</v>
      </c>
      <c r="G47" s="8">
        <f>TableA[[#This Row],[商品驗證登錄證書編號]] &amp; "_" &amp; TableA[[#This Row],[室外機型號]]</f>
        <v/>
      </c>
      <c r="H47" s="8" t="n"/>
    </row>
    <row r="48" hidden="1" s="13">
      <c r="A48" s="4" t="inlineStr">
        <is>
          <t>TERTEC</t>
        </is>
      </c>
      <c r="B48" s="4" t="inlineStr">
        <is>
          <t>MA</t>
        </is>
      </c>
      <c r="C48" s="4" t="inlineStr">
        <is>
          <t>2MXM75RVLT</t>
        </is>
      </c>
      <c r="D48" s="6" t="n"/>
      <c r="E48" s="4" t="inlineStr">
        <is>
          <t>CI3A2261861848</t>
        </is>
      </c>
      <c r="F48" s="5" t="n">
        <v>46192</v>
      </c>
      <c r="G48" s="8">
        <f>TableA[[#This Row],[商品驗證登錄證書編號]] &amp; "_" &amp; TableA[[#This Row],[室外機型號]]</f>
        <v/>
      </c>
      <c r="H48" s="8" t="n"/>
    </row>
    <row r="49" hidden="1" s="13">
      <c r="A49" s="4" t="inlineStr">
        <is>
          <t>TERTEC</t>
        </is>
      </c>
      <c r="B49" s="4" t="inlineStr">
        <is>
          <t>MA</t>
        </is>
      </c>
      <c r="C49" s="4" t="inlineStr">
        <is>
          <t>2MXP85WVLT</t>
        </is>
      </c>
      <c r="D49" s="4" t="n"/>
      <c r="E49" s="4" t="inlineStr">
        <is>
          <t>CI3A2261861848</t>
        </is>
      </c>
      <c r="F49" s="5" t="n">
        <v>46192</v>
      </c>
      <c r="G49" s="8">
        <f>TableA[[#This Row],[商品驗證登錄證書編號]] &amp; "_" &amp; TableA[[#This Row],[室外機型號]]</f>
        <v/>
      </c>
      <c r="H49" s="8" t="n"/>
    </row>
    <row r="50" hidden="1" s="13">
      <c r="A50" s="4" t="inlineStr">
        <is>
          <t>ETC</t>
        </is>
      </c>
      <c r="B50" s="4" t="inlineStr">
        <is>
          <t>MA</t>
        </is>
      </c>
      <c r="C50" s="4" t="inlineStr">
        <is>
          <t>2MXM56YVLT</t>
        </is>
      </c>
      <c r="D50" s="4" t="n"/>
      <c r="E50" s="4" t="inlineStr">
        <is>
          <t>CI3A3161862072</t>
        </is>
      </c>
      <c r="F50" s="5" t="n">
        <v>46416</v>
      </c>
      <c r="G50" s="8">
        <f>TableA[[#This Row],[商品驗證登錄證書編號]] &amp; "_" &amp; TableA[[#This Row],[室外機型號]]</f>
        <v/>
      </c>
      <c r="H50" s="8" t="n"/>
    </row>
    <row r="51" hidden="1" s="13">
      <c r="A51" s="4" t="inlineStr">
        <is>
          <t>ETC</t>
        </is>
      </c>
      <c r="B51" s="4" t="inlineStr">
        <is>
          <t>MA</t>
        </is>
      </c>
      <c r="C51" s="4" t="inlineStr">
        <is>
          <t>2MXM75YVLT</t>
        </is>
      </c>
      <c r="D51" s="6" t="n"/>
      <c r="E51" s="4" t="inlineStr">
        <is>
          <t>CI3A3161862072</t>
        </is>
      </c>
      <c r="F51" s="5" t="n">
        <v>46416</v>
      </c>
      <c r="G51" s="8">
        <f>TableA[[#This Row],[商品驗證登錄證書編號]] &amp; "_" &amp; TableA[[#This Row],[室外機型號]]</f>
        <v/>
      </c>
      <c r="H51" s="8" t="n"/>
    </row>
    <row r="52" hidden="1" s="13">
      <c r="A52" s="4" t="inlineStr">
        <is>
          <t>ETC</t>
        </is>
      </c>
      <c r="B52" s="4" t="inlineStr">
        <is>
          <t>MA</t>
        </is>
      </c>
      <c r="C52" s="4" t="inlineStr">
        <is>
          <t>3MXM90YVLT</t>
        </is>
      </c>
      <c r="D52" s="6" t="n"/>
      <c r="E52" s="4" t="inlineStr">
        <is>
          <t>CI3A3161862118</t>
        </is>
      </c>
      <c r="F52" s="5" t="n">
        <v>46410</v>
      </c>
      <c r="G52" s="8">
        <f>TableA[[#This Row],[商品驗證登錄證書編號]] &amp; "_" &amp; TableA[[#This Row],[室外機型號]]</f>
        <v/>
      </c>
      <c r="H52" s="8" t="n"/>
    </row>
    <row r="53" hidden="1" s="13">
      <c r="A53" s="4" t="inlineStr">
        <is>
          <t>ETC</t>
        </is>
      </c>
      <c r="B53" s="4" t="inlineStr">
        <is>
          <t>MA</t>
        </is>
      </c>
      <c r="C53" s="4" t="inlineStr">
        <is>
          <t>4MXM110YVLT</t>
        </is>
      </c>
      <c r="D53" s="6" t="n"/>
      <c r="E53" s="4" t="inlineStr">
        <is>
          <t>CI3A3161862130</t>
        </is>
      </c>
      <c r="F53" s="5" t="n">
        <v>46416</v>
      </c>
      <c r="G53" s="8">
        <f>TableA[[#This Row],[商品驗證登錄證書編號]] &amp; "_" &amp; TableA[[#This Row],[室外機型號]]</f>
        <v/>
      </c>
      <c r="H53" s="8" t="n"/>
    </row>
    <row r="54" hidden="1" s="13">
      <c r="A54" s="4" t="inlineStr">
        <is>
          <t>TERTEC</t>
        </is>
      </c>
      <c r="B54" s="4" t="inlineStr">
        <is>
          <t>MA</t>
        </is>
      </c>
      <c r="C54" s="4" t="inlineStr">
        <is>
          <t>2MXP50ZVLT</t>
        </is>
      </c>
      <c r="D54" s="6" t="n"/>
      <c r="E54" s="4" t="inlineStr">
        <is>
          <t>CI3A3261862282</t>
        </is>
      </c>
      <c r="F54" s="5" t="n">
        <v>46759</v>
      </c>
      <c r="G54" s="8">
        <f>TableA[[#This Row],[商品驗證登錄證書編號]] &amp; "_" &amp; TableA[[#This Row],[室外機型號]]</f>
        <v/>
      </c>
      <c r="H54" s="8" t="n"/>
    </row>
    <row r="55" hidden="1" s="13">
      <c r="A55" s="4" t="inlineStr">
        <is>
          <t>TERTEC</t>
        </is>
      </c>
      <c r="B55" s="4" t="inlineStr">
        <is>
          <t>MA</t>
        </is>
      </c>
      <c r="C55" s="4" t="inlineStr">
        <is>
          <t>2MXP85ZVLT</t>
        </is>
      </c>
      <c r="D55" s="6" t="n"/>
      <c r="E55" s="4" t="inlineStr">
        <is>
          <t>CI3A3261862290</t>
        </is>
      </c>
      <c r="F55" s="5" t="n">
        <v>46759</v>
      </c>
      <c r="G55" s="8">
        <f>TableA[[#This Row],[商品驗證登錄證書編號]] &amp; "_" &amp; TableA[[#This Row],[室外機型號]]</f>
        <v/>
      </c>
      <c r="H55" s="8" t="n"/>
    </row>
    <row r="56" hidden="1" s="13">
      <c r="A56" s="4" t="inlineStr">
        <is>
          <t>TERTEC</t>
        </is>
      </c>
      <c r="B56" s="4" t="inlineStr">
        <is>
          <t>MA</t>
        </is>
      </c>
      <c r="C56" s="4" t="inlineStr">
        <is>
          <t>2MXP50TVLT</t>
        </is>
      </c>
      <c r="D56" s="6" t="n"/>
      <c r="E56" s="4" t="inlineStr">
        <is>
          <t>CI3A9261861407</t>
        </is>
      </c>
      <c r="F56" s="5" t="n">
        <v>46140</v>
      </c>
      <c r="G56" s="8">
        <f>TableA[[#This Row],[商品驗證登錄證書編號]] &amp; "_" &amp; TableA[[#This Row],[室外機型號]]</f>
        <v/>
      </c>
      <c r="H56" s="8" t="n"/>
    </row>
    <row r="57" hidden="1" s="13">
      <c r="A57" s="4" t="inlineStr">
        <is>
          <t>TERTEC</t>
        </is>
      </c>
      <c r="B57" s="4" t="inlineStr">
        <is>
          <t>MA</t>
        </is>
      </c>
      <c r="C57" s="4" t="inlineStr">
        <is>
          <t>4MXM110PVLT</t>
        </is>
      </c>
      <c r="D57" s="6" t="n"/>
      <c r="E57" s="4" t="inlineStr">
        <is>
          <t>CI3A9261861418</t>
        </is>
      </c>
      <c r="F57" s="5" t="n">
        <v>46163</v>
      </c>
      <c r="G57" s="8">
        <f>TableA[[#This Row],[商品驗證登錄證書編號]] &amp; "_" &amp; TableA[[#This Row],[室外機型號]]</f>
        <v/>
      </c>
      <c r="H57" s="8" t="n"/>
    </row>
    <row r="58" hidden="1" s="13">
      <c r="A58" s="4" t="inlineStr">
        <is>
          <t>TERTEC</t>
        </is>
      </c>
      <c r="B58" s="4" t="inlineStr">
        <is>
          <t>MA</t>
        </is>
      </c>
      <c r="C58" s="4" t="inlineStr">
        <is>
          <t>4MXM110RVLT</t>
        </is>
      </c>
      <c r="D58" s="6" t="n"/>
      <c r="E58" s="4" t="inlineStr">
        <is>
          <t>CI3A9261861418</t>
        </is>
      </c>
      <c r="F58" s="5" t="n">
        <v>46163</v>
      </c>
      <c r="G58" s="8">
        <f>TableA[[#This Row],[商品驗證登錄證書編號]] &amp; "_" &amp; TableA[[#This Row],[室外機型號]]</f>
        <v/>
      </c>
      <c r="H58" s="8" t="n"/>
    </row>
    <row r="59" hidden="1" s="13">
      <c r="A59" s="4" t="inlineStr">
        <is>
          <t>TERTEC</t>
        </is>
      </c>
      <c r="B59" s="4" t="inlineStr">
        <is>
          <t>SA</t>
        </is>
      </c>
      <c r="C59" s="4" t="inlineStr">
        <is>
          <t>RZAC100DYLT</t>
        </is>
      </c>
      <c r="D59" s="4" t="inlineStr">
        <is>
          <t>FCA100CVLT</t>
        </is>
      </c>
      <c r="E59" s="4" t="inlineStr">
        <is>
          <t>CI3A2261861890</t>
        </is>
      </c>
      <c r="F59" s="5" t="n">
        <v>46227</v>
      </c>
      <c r="G59" s="8">
        <f>TableA[[#This Row],[商品驗證登錄證書編號]] &amp; "_" &amp; TableA[[#This Row],[室外機型號]]</f>
        <v/>
      </c>
      <c r="H59" s="8" t="n"/>
    </row>
    <row r="60" hidden="1" s="13">
      <c r="A60" s="4" t="inlineStr">
        <is>
          <t>TERTEC</t>
        </is>
      </c>
      <c r="B60" s="4" t="inlineStr">
        <is>
          <t>SA</t>
        </is>
      </c>
      <c r="C60" s="4" t="inlineStr">
        <is>
          <t>RZAC71DVLT</t>
        </is>
      </c>
      <c r="D60" s="4" t="inlineStr">
        <is>
          <t>FCA71CVLT</t>
        </is>
      </c>
      <c r="E60" s="4" t="inlineStr">
        <is>
          <t>CI3A2261861906</t>
        </is>
      </c>
      <c r="F60" s="5" t="n">
        <v>47323</v>
      </c>
      <c r="G60" s="8">
        <f>TableA[[#This Row],[商品驗證登錄證書編號]] &amp; "_" &amp; TableA[[#This Row],[室外機型號]]</f>
        <v/>
      </c>
      <c r="H60" s="8" t="n"/>
    </row>
    <row r="61" hidden="1" s="13">
      <c r="A61" s="4" t="inlineStr">
        <is>
          <t>TERTEC</t>
        </is>
      </c>
      <c r="B61" s="4" t="inlineStr">
        <is>
          <t>SA</t>
        </is>
      </c>
      <c r="C61" s="4" t="inlineStr">
        <is>
          <t>RZAC100DTLT</t>
        </is>
      </c>
      <c r="D61" s="4" t="inlineStr">
        <is>
          <t>FBA100BVLT</t>
        </is>
      </c>
      <c r="E61" s="4" t="inlineStr">
        <is>
          <t>CI3A9261861510</t>
        </is>
      </c>
      <c r="F61" s="5" t="n">
        <v>46195</v>
      </c>
      <c r="G61" s="8">
        <f>TableA[[#This Row],[商品驗證登錄證書編號]] &amp; "_" &amp; TableA[[#This Row],[室外機型號]]</f>
        <v/>
      </c>
      <c r="H61" s="8" t="n"/>
    </row>
    <row r="62" hidden="1" s="13">
      <c r="A62" s="4" t="inlineStr">
        <is>
          <t>TERTEC</t>
        </is>
      </c>
      <c r="B62" s="4" t="inlineStr">
        <is>
          <t>SA</t>
        </is>
      </c>
      <c r="C62" s="4" t="inlineStr">
        <is>
          <t>RZAC125DTLT</t>
        </is>
      </c>
      <c r="D62" s="4" t="inlineStr">
        <is>
          <t>FBA125BVLT</t>
        </is>
      </c>
      <c r="E62" s="4" t="inlineStr">
        <is>
          <t>CI3A9261861510</t>
        </is>
      </c>
      <c r="F62" s="5" t="n">
        <v>46195</v>
      </c>
      <c r="G62" s="8">
        <f>TableA[[#This Row],[商品驗證登錄證書編號]] &amp; "_" &amp; TableA[[#This Row],[室外機型號]]</f>
        <v/>
      </c>
      <c r="H62" s="8" t="n"/>
    </row>
    <row r="63" hidden="1" s="13">
      <c r="A63" s="4" t="inlineStr">
        <is>
          <t>TERTEC</t>
        </is>
      </c>
      <c r="B63" s="4" t="inlineStr">
        <is>
          <t>SA</t>
        </is>
      </c>
      <c r="C63" s="4" t="inlineStr">
        <is>
          <t>RZAC140DTLT</t>
        </is>
      </c>
      <c r="D63" s="4" t="inlineStr">
        <is>
          <t>FBA140BVLT</t>
        </is>
      </c>
      <c r="E63" s="4" t="inlineStr">
        <is>
          <t>CI3A9261861510</t>
        </is>
      </c>
      <c r="F63" s="5" t="n">
        <v>46195</v>
      </c>
      <c r="G63" s="8">
        <f>TableA[[#This Row],[商品驗證登錄證書編號]] &amp; "_" &amp; TableA[[#This Row],[室外機型號]]</f>
        <v/>
      </c>
      <c r="H63" s="8" t="n"/>
    </row>
    <row r="64" hidden="1" s="13">
      <c r="A64" s="4" t="inlineStr">
        <is>
          <t>TERTEC</t>
        </is>
      </c>
      <c r="B64" s="4" t="inlineStr">
        <is>
          <t>SA</t>
        </is>
      </c>
      <c r="C64" s="4" t="inlineStr">
        <is>
          <t>RZAC71EVLT</t>
        </is>
      </c>
      <c r="D64" s="4" t="inlineStr">
        <is>
          <t>FCA71DVLT</t>
        </is>
      </c>
      <c r="E64" s="4" t="inlineStr">
        <is>
          <t>CI3A3261862204</t>
        </is>
      </c>
      <c r="F64" s="5" t="n">
        <v>46704</v>
      </c>
      <c r="G64" s="8">
        <f>TableA[[#This Row],[商品驗證登錄證書編號]] &amp; "_" &amp; TableA[[#This Row],[室外機型號]]</f>
        <v/>
      </c>
      <c r="H64" s="8" t="n"/>
    </row>
    <row r="65" hidden="1" s="13">
      <c r="A65" s="4" t="inlineStr">
        <is>
          <t>TERTEC</t>
        </is>
      </c>
      <c r="B65" s="4" t="inlineStr">
        <is>
          <t>SA</t>
        </is>
      </c>
      <c r="C65" s="4" t="inlineStr">
        <is>
          <t>RZF71DVLT</t>
        </is>
      </c>
      <c r="D65" s="4" t="inlineStr">
        <is>
          <t>FCA71DVLT</t>
        </is>
      </c>
      <c r="E65" s="4" t="inlineStr">
        <is>
          <t>CI3A3261862215</t>
        </is>
      </c>
      <c r="F65" s="5" t="n">
        <v>46704</v>
      </c>
      <c r="G65" s="8">
        <f>TableA[[#This Row],[商品驗證登錄證書編號]] &amp; "_" &amp; TableA[[#This Row],[室外機型號]]</f>
        <v/>
      </c>
      <c r="H65" s="8" t="n"/>
    </row>
    <row r="66" hidden="1" s="13">
      <c r="A66" s="4" t="inlineStr">
        <is>
          <t>TERTEC</t>
        </is>
      </c>
      <c r="B66" s="4" t="inlineStr">
        <is>
          <t>SA</t>
        </is>
      </c>
      <c r="C66" s="4" t="inlineStr">
        <is>
          <t>RZAC125DVLT</t>
        </is>
      </c>
      <c r="D66" s="4" t="inlineStr">
        <is>
          <t>FBA125BVLT</t>
        </is>
      </c>
      <c r="E66" s="4" t="inlineStr">
        <is>
          <t>CI3A2261861860</t>
        </is>
      </c>
      <c r="F66" s="5" t="n">
        <v>47316</v>
      </c>
      <c r="G66" s="8">
        <f>TableA[[#This Row],[商品驗證登錄證書編號]] &amp; "_" &amp; TableA[[#This Row],[室外機型號]]</f>
        <v/>
      </c>
      <c r="H66" s="8" t="n"/>
    </row>
    <row r="67" hidden="1" s="13">
      <c r="A67" s="4" t="inlineStr">
        <is>
          <t>TERTEC</t>
        </is>
      </c>
      <c r="B67" s="4" t="inlineStr">
        <is>
          <t>SA</t>
        </is>
      </c>
      <c r="C67" s="4" t="inlineStr">
        <is>
          <t>RZAC140DVLT</t>
        </is>
      </c>
      <c r="D67" s="4" t="inlineStr">
        <is>
          <t>FCA140CVLT</t>
        </is>
      </c>
      <c r="E67" s="4" t="inlineStr">
        <is>
          <t>CI3A2261861860</t>
        </is>
      </c>
      <c r="F67" s="5" t="n">
        <v>47316</v>
      </c>
      <c r="G67" s="8">
        <f>TableA[[#This Row],[商品驗證登錄證書編號]] &amp; "_" &amp; TableA[[#This Row],[室外機型號]]</f>
        <v/>
      </c>
      <c r="H67" s="8" t="n"/>
    </row>
    <row r="68" hidden="1" s="13">
      <c r="A68" s="4" t="inlineStr">
        <is>
          <t>TERTEC</t>
        </is>
      </c>
      <c r="B68" s="4" t="inlineStr">
        <is>
          <t>SA</t>
        </is>
      </c>
      <c r="C68" s="4" t="inlineStr">
        <is>
          <t>RZAC100DVLT</t>
        </is>
      </c>
      <c r="D68" s="4" t="inlineStr">
        <is>
          <t>FCA100CVLT</t>
        </is>
      </c>
      <c r="E68" s="4" t="inlineStr">
        <is>
          <t>CI3A2261861871</t>
        </is>
      </c>
      <c r="F68" s="5" t="n">
        <v>47316</v>
      </c>
      <c r="G68" s="8">
        <f>TableA[[#This Row],[商品驗證登錄證書編號]] &amp; "_" &amp; TableA[[#This Row],[室外機型號]]</f>
        <v/>
      </c>
      <c r="H68" s="8" t="n"/>
    </row>
    <row r="69" hidden="1" s="13">
      <c r="A69" s="4" t="inlineStr">
        <is>
          <t>TERTEC</t>
        </is>
      </c>
      <c r="B69" s="4" t="inlineStr">
        <is>
          <t>SA</t>
        </is>
      </c>
      <c r="C69" s="4" t="inlineStr">
        <is>
          <t>RZAC125DYLT</t>
        </is>
      </c>
      <c r="D69" s="4" t="inlineStr">
        <is>
          <t>FCA125CVLT</t>
        </is>
      </c>
      <c r="E69" s="4" t="inlineStr">
        <is>
          <t>CI3A2261861882</t>
        </is>
      </c>
      <c r="F69" s="5" t="n">
        <v>47323</v>
      </c>
      <c r="G69" s="8">
        <f>TableA[[#This Row],[商品驗證登錄證書編號]] &amp; "_" &amp; TableA[[#This Row],[室外機型號]]</f>
        <v/>
      </c>
      <c r="H69" s="8" t="n"/>
    </row>
    <row r="70" hidden="1" s="13">
      <c r="A70" s="4" t="inlineStr">
        <is>
          <t>TERTEC</t>
        </is>
      </c>
      <c r="B70" s="4" t="inlineStr">
        <is>
          <t>SA</t>
        </is>
      </c>
      <c r="C70" s="4" t="inlineStr">
        <is>
          <t>RZAC140DYLT</t>
        </is>
      </c>
      <c r="D70" s="4" t="inlineStr">
        <is>
          <t>FCA140CVLT</t>
        </is>
      </c>
      <c r="E70" s="4" t="inlineStr">
        <is>
          <t>CI3A2261861882</t>
        </is>
      </c>
      <c r="F70" s="5" t="n">
        <v>47323</v>
      </c>
      <c r="G70" s="8">
        <f>TableA[[#This Row],[商品驗證登錄證書編號]] &amp; "_" &amp; TableA[[#This Row],[室外機型號]]</f>
        <v/>
      </c>
      <c r="H70" s="8" t="n"/>
    </row>
    <row r="71" hidden="1" s="13">
      <c r="A71" s="4" t="inlineStr">
        <is>
          <t>MIRDC</t>
        </is>
      </c>
      <c r="B71" s="4" t="inlineStr">
        <is>
          <t>SA</t>
        </is>
      </c>
      <c r="C71" s="4" t="inlineStr">
        <is>
          <t>RZAC140ETLT</t>
        </is>
      </c>
      <c r="D71" s="4" t="inlineStr">
        <is>
          <t>FCA140DVLT</t>
        </is>
      </c>
      <c r="E71" s="4" t="inlineStr">
        <is>
          <t>CI3A3561862086</t>
        </is>
      </c>
      <c r="F71" s="5" t="n">
        <v>46439</v>
      </c>
      <c r="G71" s="8">
        <f>TableA[[#This Row],[商品驗證登錄證書編號]] &amp; "_" &amp; TableA[[#This Row],[室外機型號]]</f>
        <v/>
      </c>
      <c r="H71" s="8" t="n"/>
    </row>
    <row r="72" hidden="1" s="13">
      <c r="A72" s="4" t="inlineStr">
        <is>
          <t>MIRDC</t>
        </is>
      </c>
      <c r="B72" s="4" t="inlineStr">
        <is>
          <t>SA</t>
        </is>
      </c>
      <c r="C72" s="4" t="inlineStr">
        <is>
          <t>RZAC100ETLT</t>
        </is>
      </c>
      <c r="D72" s="4" t="inlineStr">
        <is>
          <t>FBA100BVLT</t>
        </is>
      </c>
      <c r="E72" s="4" t="inlineStr">
        <is>
          <t>C13A3561862097</t>
        </is>
      </c>
      <c r="F72" s="5" t="n">
        <v>46440</v>
      </c>
      <c r="G72" s="8">
        <f>TableA[[#This Row],[商品驗證登錄證書編號]] &amp; "_" &amp; TableA[[#This Row],[室外機型號]]</f>
        <v/>
      </c>
      <c r="H72" s="8" t="n"/>
    </row>
    <row r="73" hidden="1" s="13">
      <c r="A73" s="4" t="inlineStr">
        <is>
          <t>MIRDC</t>
        </is>
      </c>
      <c r="B73" s="4" t="inlineStr">
        <is>
          <t>SA</t>
        </is>
      </c>
      <c r="C73" s="4" t="inlineStr">
        <is>
          <t>RZAC125ETLT</t>
        </is>
      </c>
      <c r="D73" s="4" t="inlineStr">
        <is>
          <t>FCA125DVLT</t>
        </is>
      </c>
      <c r="E73" s="4" t="inlineStr">
        <is>
          <t>C13A3561862097</t>
        </is>
      </c>
      <c r="F73" s="5" t="n">
        <v>46440</v>
      </c>
      <c r="G73" s="8">
        <f>TableA[[#This Row],[商品驗證登錄證書編號]] &amp; "_" &amp; TableA[[#This Row],[室外機型號]]</f>
        <v/>
      </c>
      <c r="H73" s="8" t="n"/>
    </row>
    <row r="74" hidden="1" s="13">
      <c r="A74" s="4" t="inlineStr">
        <is>
          <t>MIRDC</t>
        </is>
      </c>
      <c r="B74" s="4" t="inlineStr">
        <is>
          <t>SA</t>
        </is>
      </c>
      <c r="C74" s="4" t="inlineStr">
        <is>
          <t>RZF100DTLT</t>
        </is>
      </c>
      <c r="D74" s="4" t="inlineStr">
        <is>
          <t>FCA100DVLT</t>
        </is>
      </c>
      <c r="E74" s="4" t="inlineStr">
        <is>
          <t>CI3A3561862100</t>
        </is>
      </c>
      <c r="F74" s="5" t="n">
        <v>46440</v>
      </c>
      <c r="G74" s="8">
        <f>TableA[[#This Row],[商品驗證登錄證書編號]] &amp; "_" &amp; TableA[[#This Row],[室外機型號]]</f>
        <v/>
      </c>
      <c r="H74" s="8" t="n"/>
    </row>
    <row r="75" hidden="1" s="13">
      <c r="A75" s="4" t="inlineStr">
        <is>
          <t>MIRDC</t>
        </is>
      </c>
      <c r="B75" s="4" t="inlineStr">
        <is>
          <t>SA</t>
        </is>
      </c>
      <c r="C75" s="4" t="inlineStr">
        <is>
          <t>RZF125DTLT</t>
        </is>
      </c>
      <c r="D75" s="4" t="inlineStr">
        <is>
          <t>FCA125DVLT</t>
        </is>
      </c>
      <c r="E75" s="4" t="inlineStr">
        <is>
          <t>CI3A3561862100</t>
        </is>
      </c>
      <c r="F75" s="5" t="n">
        <v>46440</v>
      </c>
      <c r="G75" s="8">
        <f>TableA[[#This Row],[商品驗證登錄證書編號]] &amp; "_" &amp; TableA[[#This Row],[室外機型號]]</f>
        <v/>
      </c>
      <c r="H75" s="8" t="n"/>
    </row>
    <row r="76" hidden="1" s="13">
      <c r="A76" s="4" t="inlineStr">
        <is>
          <t>MIRDC</t>
        </is>
      </c>
      <c r="B76" s="4" t="inlineStr">
        <is>
          <t>SA</t>
        </is>
      </c>
      <c r="C76" s="4" t="inlineStr">
        <is>
          <t>RZF140DTLT</t>
        </is>
      </c>
      <c r="D76" s="4" t="inlineStr">
        <is>
          <t>FCA140DVLT</t>
        </is>
      </c>
      <c r="E76" s="4" t="inlineStr">
        <is>
          <t>CI3A3561862100</t>
        </is>
      </c>
      <c r="F76" s="5" t="n">
        <v>46440</v>
      </c>
      <c r="G76" s="8">
        <f>TableA[[#This Row],[商品驗證登錄證書編號]] &amp; "_" &amp; TableA[[#This Row],[室外機型號]]</f>
        <v/>
      </c>
      <c r="H76" s="8" t="n"/>
    </row>
    <row r="77" hidden="1" s="13">
      <c r="A77" s="4" t="inlineStr">
        <is>
          <t>ETC</t>
        </is>
      </c>
      <c r="B77" s="4" t="inlineStr">
        <is>
          <t>SA</t>
        </is>
      </c>
      <c r="C77" s="4" t="inlineStr">
        <is>
          <t>RZF100CVLT</t>
        </is>
      </c>
      <c r="D77" s="4" t="inlineStr">
        <is>
          <t>FBA100BVLT</t>
        </is>
      </c>
      <c r="E77" s="4" t="inlineStr">
        <is>
          <t>CI3A4161862352</t>
        </is>
      </c>
      <c r="F77" s="5" t="n">
        <v>47090</v>
      </c>
      <c r="G77" s="8">
        <f>TableA[[#This Row],[商品驗證登錄證書編號]] &amp; "_" &amp; TableA[[#This Row],[室外機型號]]</f>
        <v/>
      </c>
      <c r="H77" s="8" t="n"/>
    </row>
    <row r="78" hidden="1" s="13">
      <c r="A78" s="4" t="inlineStr">
        <is>
          <t>ETC</t>
        </is>
      </c>
      <c r="B78" s="4" t="inlineStr">
        <is>
          <t>SA</t>
        </is>
      </c>
      <c r="C78" s="4" t="inlineStr">
        <is>
          <t>RZF125CVLT</t>
        </is>
      </c>
      <c r="D78" s="4" t="inlineStr">
        <is>
          <t>FBA125BVLT</t>
        </is>
      </c>
      <c r="E78" s="4" t="inlineStr">
        <is>
          <t>CI3A4161862352</t>
        </is>
      </c>
      <c r="F78" s="5" t="n">
        <v>47090</v>
      </c>
      <c r="G78" s="8">
        <f>TableA[[#This Row],[商品驗證登錄證書編號]] &amp; "_" &amp; TableA[[#This Row],[室外機型號]]</f>
        <v/>
      </c>
      <c r="H78" s="8" t="n"/>
    </row>
    <row r="79" hidden="1" s="13">
      <c r="A79" s="4" t="inlineStr">
        <is>
          <t>ETC</t>
        </is>
      </c>
      <c r="B79" s="4" t="inlineStr">
        <is>
          <t>SA</t>
        </is>
      </c>
      <c r="C79" s="4" t="inlineStr">
        <is>
          <t>RZF140CVLT</t>
        </is>
      </c>
      <c r="D79" s="4" t="inlineStr">
        <is>
          <t>FCA140CVLT</t>
        </is>
      </c>
      <c r="E79" s="4" t="inlineStr">
        <is>
          <t>CI3A4161862352</t>
        </is>
      </c>
      <c r="F79" s="5" t="n">
        <v>47090</v>
      </c>
      <c r="G79" s="8">
        <f>TableA[[#This Row],[商品驗證登錄證書編號]] &amp; "_" &amp; TableA[[#This Row],[室外機型號]]</f>
        <v/>
      </c>
      <c r="H79" s="8" t="n"/>
    </row>
    <row r="80" hidden="1" s="13">
      <c r="A80" s="4" t="inlineStr">
        <is>
          <t>ETC</t>
        </is>
      </c>
      <c r="B80" s="4" t="inlineStr">
        <is>
          <t>SA</t>
        </is>
      </c>
      <c r="C80" s="4" t="inlineStr">
        <is>
          <t>RZF100CYLT</t>
        </is>
      </c>
      <c r="D80" s="4" t="inlineStr">
        <is>
          <t>FBA100BVLT</t>
        </is>
      </c>
      <c r="E80" s="4" t="inlineStr">
        <is>
          <t>CI3A5161862405</t>
        </is>
      </c>
      <c r="F80" s="5" t="n">
        <v>47236</v>
      </c>
      <c r="G80" s="8">
        <f>TableA[[#This Row],[商品驗證登錄證書編號]] &amp; "_" &amp; TableA[[#This Row],[室外機型號]]</f>
        <v/>
      </c>
      <c r="H80" s="8" t="n"/>
    </row>
    <row r="81" hidden="1" s="13">
      <c r="A81" s="4" t="inlineStr">
        <is>
          <t>ETC</t>
        </is>
      </c>
      <c r="B81" s="4" t="inlineStr">
        <is>
          <t>SA</t>
        </is>
      </c>
      <c r="C81" s="4" t="inlineStr">
        <is>
          <t>RZF125CYLT</t>
        </is>
      </c>
      <c r="D81" s="4" t="inlineStr">
        <is>
          <t>FBA125BVLT</t>
        </is>
      </c>
      <c r="E81" s="4" t="inlineStr">
        <is>
          <t>CI3A5161862405</t>
        </is>
      </c>
      <c r="F81" s="5" t="n">
        <v>47236</v>
      </c>
      <c r="G81" s="8">
        <f>TableA[[#This Row],[商品驗證登錄證書編號]] &amp; "_" &amp; TableA[[#This Row],[室外機型號]]</f>
        <v/>
      </c>
      <c r="H81" s="8" t="n"/>
    </row>
    <row r="82" hidden="1" s="13">
      <c r="A82" s="4" t="inlineStr">
        <is>
          <t>ETC</t>
        </is>
      </c>
      <c r="B82" s="4" t="inlineStr">
        <is>
          <t>SA</t>
        </is>
      </c>
      <c r="C82" s="4" t="inlineStr">
        <is>
          <t>RZF140CYLT</t>
        </is>
      </c>
      <c r="D82" s="4" t="inlineStr">
        <is>
          <t>FCA140CVLT</t>
        </is>
      </c>
      <c r="E82" s="4" t="inlineStr">
        <is>
          <t>CI3A5161862405</t>
        </is>
      </c>
      <c r="F82" s="5" t="n">
        <v>47236</v>
      </c>
      <c r="G82" s="8">
        <f>TableA[[#This Row],[商品驗證登錄證書編號]] &amp; "_" &amp; TableA[[#This Row],[室外機型號]]</f>
        <v/>
      </c>
      <c r="H82" s="8" t="n"/>
    </row>
    <row r="83">
      <c r="A83" s="4" t="inlineStr">
        <is>
          <t>TERTEC</t>
        </is>
      </c>
      <c r="B83" s="4" t="inlineStr">
        <is>
          <t>VRV</t>
        </is>
      </c>
      <c r="C83" s="4" t="inlineStr">
        <is>
          <t>RSUYQ112AVT</t>
        </is>
      </c>
      <c r="D83" s="6" t="n"/>
      <c r="E83" s="4" t="inlineStr">
        <is>
          <t>CI3A2261861779</t>
        </is>
      </c>
      <c r="F83" s="5" t="n">
        <v>47192</v>
      </c>
      <c r="G83" s="8">
        <f>TableA[[#This Row],[商品驗證登錄證書編號]] &amp; "_" &amp; TableA[[#This Row],[室外機型號]]</f>
        <v/>
      </c>
      <c r="H83" s="8" t="n"/>
    </row>
    <row r="84">
      <c r="A84" s="4" t="inlineStr">
        <is>
          <t>TERTEC</t>
        </is>
      </c>
      <c r="B84" s="4" t="inlineStr">
        <is>
          <t>VRV</t>
        </is>
      </c>
      <c r="C84" s="4" t="inlineStr">
        <is>
          <t>RSUYQ125AVT</t>
        </is>
      </c>
      <c r="D84" s="6" t="n"/>
      <c r="E84" s="4" t="inlineStr">
        <is>
          <t>CI3A2261861779</t>
        </is>
      </c>
      <c r="F84" s="5" t="n">
        <v>47192</v>
      </c>
      <c r="G84" s="8">
        <f>TableA[[#This Row],[商品驗證登錄證書編號]] &amp; "_" &amp; TableA[[#This Row],[室外機型號]]</f>
        <v/>
      </c>
      <c r="H84" s="8" t="n"/>
    </row>
    <row r="85">
      <c r="A85" s="4" t="inlineStr">
        <is>
          <t>TERTEC</t>
        </is>
      </c>
      <c r="B85" s="4" t="inlineStr">
        <is>
          <t>VRV</t>
        </is>
      </c>
      <c r="C85" s="4" t="inlineStr">
        <is>
          <t>RSUYQ140AVT</t>
        </is>
      </c>
      <c r="D85" s="6" t="n"/>
      <c r="E85" s="4" t="inlineStr">
        <is>
          <t>CI3A2261861779</t>
        </is>
      </c>
      <c r="F85" s="5" t="n">
        <v>47192</v>
      </c>
      <c r="G85" s="8">
        <f>TableA[[#This Row],[商品驗證登錄證書編號]] &amp; "_" &amp; TableA[[#This Row],[室外機型號]]</f>
        <v/>
      </c>
      <c r="H85" s="8" t="n"/>
    </row>
    <row r="86">
      <c r="A86" s="4" t="inlineStr">
        <is>
          <t>TERTEC</t>
        </is>
      </c>
      <c r="B86" s="4" t="inlineStr">
        <is>
          <t>VRV</t>
        </is>
      </c>
      <c r="C86" s="4" t="inlineStr">
        <is>
          <t>RSUYQ160AVT</t>
        </is>
      </c>
      <c r="D86" s="6" t="n"/>
      <c r="E86" s="4" t="inlineStr">
        <is>
          <t>CI3A2261861779</t>
        </is>
      </c>
      <c r="F86" s="5" t="n">
        <v>47192</v>
      </c>
      <c r="G86" s="8">
        <f>TableA[[#This Row],[商品驗證登錄證書編號]] &amp; "_" &amp; TableA[[#This Row],[室外機型號]]</f>
        <v/>
      </c>
      <c r="H86" s="8" t="n"/>
    </row>
    <row r="87">
      <c r="A87" s="4" t="inlineStr">
        <is>
          <t>TERTEC</t>
        </is>
      </c>
      <c r="B87" s="4" t="inlineStr">
        <is>
          <t>VRV</t>
        </is>
      </c>
      <c r="C87" s="4" t="inlineStr">
        <is>
          <t>RXYMQ6TVET</t>
        </is>
      </c>
      <c r="D87" s="6" t="n"/>
      <c r="E87" s="4" t="inlineStr">
        <is>
          <t>CI3A2261861768</t>
        </is>
      </c>
      <c r="F87" s="5" t="n">
        <v>47163</v>
      </c>
      <c r="G87" s="8">
        <f>TableA[[#This Row],[商品驗證登錄證書編號]] &amp; "_" &amp; TableA[[#This Row],[室外機型號]]</f>
        <v/>
      </c>
      <c r="H87" s="8" t="n"/>
    </row>
    <row r="88">
      <c r="A88" s="4" t="inlineStr">
        <is>
          <t>TERTEC</t>
        </is>
      </c>
      <c r="B88" s="4" t="inlineStr">
        <is>
          <t>VRV</t>
        </is>
      </c>
      <c r="C88" s="4" t="inlineStr">
        <is>
          <t>RXYMQ8TYLT</t>
        </is>
      </c>
      <c r="D88" s="6" t="n"/>
      <c r="E88" s="4" t="inlineStr">
        <is>
          <t>CI3A2261861859</t>
        </is>
      </c>
      <c r="F88" s="5" t="n">
        <v>47304</v>
      </c>
      <c r="G88" s="8">
        <f>TableA[[#This Row],[商品驗證登錄證書編號]] &amp; "_" &amp; TableA[[#This Row],[室外機型號]]</f>
        <v/>
      </c>
      <c r="H88" s="8" t="n"/>
    </row>
    <row r="89">
      <c r="A89" s="4" t="inlineStr">
        <is>
          <t>TERTEC</t>
        </is>
      </c>
      <c r="B89" s="4" t="inlineStr">
        <is>
          <t>VRV</t>
        </is>
      </c>
      <c r="C89" s="4" t="inlineStr">
        <is>
          <t>RXYMQ10TYLT</t>
        </is>
      </c>
      <c r="D89" s="6" t="n"/>
      <c r="E89" s="4" t="inlineStr">
        <is>
          <t>CI3A2261861859</t>
        </is>
      </c>
      <c r="F89" s="5" t="n">
        <v>47304</v>
      </c>
      <c r="G89" s="8">
        <f>TableA[[#This Row],[商品驗證登錄證書編號]] &amp; "_" &amp; TableA[[#This Row],[室外機型號]]</f>
        <v/>
      </c>
      <c r="H89" s="8" t="n"/>
    </row>
    <row r="90">
      <c r="A90" s="4" t="inlineStr">
        <is>
          <t>TERTEC</t>
        </is>
      </c>
      <c r="B90" s="4" t="inlineStr">
        <is>
          <t>VRV</t>
        </is>
      </c>
      <c r="C90" s="4" t="inlineStr">
        <is>
          <t>REYQ20BYLT</t>
        </is>
      </c>
      <c r="D90" s="4" t="n"/>
      <c r="E90" s="4" t="inlineStr">
        <is>
          <t>CI3A4261862324</t>
        </is>
      </c>
      <c r="F90" s="5" t="n">
        <v>46772</v>
      </c>
      <c r="G90" s="8">
        <f>TableA[[#This Row],[商品驗證登錄證書編號]] &amp; "_" &amp; TableA[[#This Row],[室外機型號]]</f>
        <v/>
      </c>
      <c r="H90" s="8" t="n"/>
    </row>
    <row r="91">
      <c r="A91" s="4" t="inlineStr">
        <is>
          <t>TERTEC</t>
        </is>
      </c>
      <c r="B91" s="4" t="inlineStr">
        <is>
          <t>VRV</t>
        </is>
      </c>
      <c r="C91" s="4" t="inlineStr">
        <is>
          <t>REYQ16BYLT</t>
        </is>
      </c>
      <c r="D91" s="6" t="n"/>
      <c r="E91" s="4" t="inlineStr">
        <is>
          <t>CI3A4261862335</t>
        </is>
      </c>
      <c r="F91" s="5" t="n">
        <v>46772</v>
      </c>
      <c r="G91" s="8">
        <f>TableA[[#This Row],[商品驗證登錄證書編號]] &amp; "_" &amp; TableA[[#This Row],[室外機型號]]</f>
        <v/>
      </c>
      <c r="H91" s="8" t="n"/>
    </row>
    <row r="92">
      <c r="A92" s="4" t="inlineStr">
        <is>
          <t>TERTEC</t>
        </is>
      </c>
      <c r="B92" s="4" t="inlineStr">
        <is>
          <t>VRV</t>
        </is>
      </c>
      <c r="C92" s="4" t="inlineStr">
        <is>
          <t>REYQ12BYLT</t>
        </is>
      </c>
      <c r="D92" s="6" t="n"/>
      <c r="E92" s="4" t="inlineStr">
        <is>
          <t>CI3A4261862346</t>
        </is>
      </c>
      <c r="F92" s="5" t="n">
        <v>46815</v>
      </c>
      <c r="G92" s="8">
        <f>TableA[[#This Row],[商品驗證登錄證書編號]] &amp; "_" &amp; TableA[[#This Row],[室外機型號]]</f>
        <v/>
      </c>
      <c r="H92" s="8" t="n"/>
    </row>
    <row r="93">
      <c r="A93" s="4" t="inlineStr">
        <is>
          <t>TERTEC</t>
        </is>
      </c>
      <c r="B93" s="4" t="inlineStr">
        <is>
          <t>VRV</t>
        </is>
      </c>
      <c r="C93" s="4" t="inlineStr">
        <is>
          <t>RXQ8AYLT</t>
        </is>
      </c>
      <c r="D93" s="6" t="n"/>
      <c r="E93" s="4" t="inlineStr">
        <is>
          <t>CI3A1261861648</t>
        </is>
      </c>
      <c r="F93" s="5" t="n">
        <v>46843</v>
      </c>
      <c r="G93" s="8">
        <f>TableA[[#This Row],[商品驗證登錄證書編號]] &amp; "_" &amp; TableA[[#This Row],[室外機型號]]</f>
        <v/>
      </c>
      <c r="H93" s="8" t="n"/>
    </row>
    <row r="94">
      <c r="A94" s="4" t="inlineStr">
        <is>
          <t>TERTEC</t>
        </is>
      </c>
      <c r="B94" s="4" t="inlineStr">
        <is>
          <t>VRV</t>
        </is>
      </c>
      <c r="C94" s="4" t="inlineStr">
        <is>
          <t>RXQ14AYLT</t>
        </is>
      </c>
      <c r="D94" s="6" t="n"/>
      <c r="E94" s="4" t="inlineStr">
        <is>
          <t>CI3A1261861659</t>
        </is>
      </c>
      <c r="F94" s="5" t="n">
        <v>46850</v>
      </c>
      <c r="G94" s="8">
        <f>TableA[[#This Row],[商品驗證登錄證書編號]] &amp; "_" &amp; TableA[[#This Row],[室外機型號]]</f>
        <v/>
      </c>
      <c r="H94" s="8" t="n"/>
    </row>
    <row r="95">
      <c r="A95" s="4" t="inlineStr">
        <is>
          <t>TERTEC</t>
        </is>
      </c>
      <c r="B95" s="4" t="inlineStr">
        <is>
          <t>VRV</t>
        </is>
      </c>
      <c r="C95" s="4" t="inlineStr">
        <is>
          <t>RXQ10AYLT</t>
        </is>
      </c>
      <c r="D95" s="6" t="n"/>
      <c r="E95" s="4" t="inlineStr">
        <is>
          <t>CI3A2261861791</t>
        </is>
      </c>
      <c r="F95" s="5" t="n">
        <v>47253</v>
      </c>
      <c r="G95" s="8">
        <f>TableA[[#This Row],[商品驗證登錄證書編號]] &amp; "_" &amp; TableA[[#This Row],[室外機型號]]</f>
        <v/>
      </c>
      <c r="H95" s="8" t="n"/>
    </row>
    <row r="96">
      <c r="A96" s="4" t="inlineStr">
        <is>
          <t>TERTEC</t>
        </is>
      </c>
      <c r="B96" s="4" t="inlineStr">
        <is>
          <t>VRV</t>
        </is>
      </c>
      <c r="C96" s="4" t="inlineStr">
        <is>
          <t>RXQ12AYLT</t>
        </is>
      </c>
      <c r="D96" s="6" t="n"/>
      <c r="E96" s="4" t="inlineStr">
        <is>
          <t>CI3A2261861791</t>
        </is>
      </c>
      <c r="F96" s="5" t="n">
        <v>47253</v>
      </c>
      <c r="G96" s="8">
        <f>TableA[[#This Row],[商品驗證登錄證書編號]] &amp; "_" &amp; TableA[[#This Row],[室外機型號]]</f>
        <v/>
      </c>
      <c r="H96" s="8" t="n"/>
    </row>
    <row r="97">
      <c r="A97" s="4" t="inlineStr">
        <is>
          <t>TERTEC</t>
        </is>
      </c>
      <c r="B97" s="4" t="inlineStr">
        <is>
          <t>VRV</t>
        </is>
      </c>
      <c r="C97" s="4" t="inlineStr">
        <is>
          <t>RXQ16AYLT</t>
        </is>
      </c>
      <c r="D97" s="6" t="n"/>
      <c r="E97" s="4" t="inlineStr">
        <is>
          <t>CI3A2261861804</t>
        </is>
      </c>
      <c r="F97" s="5" t="n">
        <v>47255</v>
      </c>
      <c r="G97" s="8">
        <f>TableA[[#This Row],[商品驗證登錄證書編號]] &amp; "_" &amp; TableA[[#This Row],[室外機型號]]</f>
        <v/>
      </c>
      <c r="H97" s="8" t="n"/>
    </row>
    <row r="98">
      <c r="A98" s="4" t="inlineStr">
        <is>
          <t>TERTEC</t>
        </is>
      </c>
      <c r="B98" s="4" t="inlineStr">
        <is>
          <t>VRV</t>
        </is>
      </c>
      <c r="C98" s="4" t="inlineStr">
        <is>
          <t>RXQ18AYLT</t>
        </is>
      </c>
      <c r="D98" s="6" t="n"/>
      <c r="E98" s="4" t="inlineStr">
        <is>
          <t>CI3A2261861815</t>
        </is>
      </c>
      <c r="F98" s="5" t="n">
        <v>47255</v>
      </c>
      <c r="G98" s="8">
        <f>TableA[[#This Row],[商品驗證登錄證書編號]] &amp; "_" &amp; TableA[[#This Row],[室外機型號]]</f>
        <v/>
      </c>
      <c r="H98" s="8" t="n"/>
    </row>
    <row r="99">
      <c r="A99" s="4" t="inlineStr">
        <is>
          <t>TERTEC</t>
        </is>
      </c>
      <c r="B99" s="4" t="inlineStr">
        <is>
          <t>VRV</t>
        </is>
      </c>
      <c r="C99" s="4" t="inlineStr">
        <is>
          <t>RXQ20AYLT</t>
        </is>
      </c>
      <c r="D99" s="4" t="n"/>
      <c r="E99" s="4" t="inlineStr">
        <is>
          <t>CI3A2261861815</t>
        </is>
      </c>
      <c r="F99" s="5" t="n">
        <v>47255</v>
      </c>
      <c r="G99" s="8">
        <f>TableA[[#This Row],[商品驗證登錄證書編號]] &amp; "_" &amp; TableA[[#This Row],[室外機型號]]</f>
        <v/>
      </c>
      <c r="H99" s="8" t="n"/>
    </row>
    <row r="100">
      <c r="A100" s="4" t="inlineStr">
        <is>
          <t>TERTEC</t>
        </is>
      </c>
      <c r="B100" s="4" t="inlineStr">
        <is>
          <t>VRV</t>
        </is>
      </c>
      <c r="C100" s="4" t="inlineStr">
        <is>
          <t>RXYQ10AYLT</t>
        </is>
      </c>
      <c r="D100" s="6" t="n"/>
      <c r="E100" s="4" t="inlineStr">
        <is>
          <t>CI3A2261861939</t>
        </is>
      </c>
      <c r="F100" s="5" t="n">
        <v>46255</v>
      </c>
      <c r="G100" s="8">
        <f>TableA[[#This Row],[商品驗證登錄證書編號]] &amp; "_" &amp; TableA[[#This Row],[室外機型號]]</f>
        <v/>
      </c>
      <c r="H100" s="8" t="n"/>
    </row>
    <row r="101">
      <c r="A101" s="4" t="inlineStr">
        <is>
          <t>TERTEC</t>
        </is>
      </c>
      <c r="B101" s="4" t="inlineStr">
        <is>
          <t>VRV</t>
        </is>
      </c>
      <c r="C101" s="4" t="inlineStr">
        <is>
          <t>RXYQ12AYLT</t>
        </is>
      </c>
      <c r="D101" s="6" t="n"/>
      <c r="E101" s="4" t="inlineStr">
        <is>
          <t>CI3A2261861815</t>
        </is>
      </c>
      <c r="F101" s="5" t="n">
        <v>47255</v>
      </c>
      <c r="G101" s="8">
        <f>TableA[[#This Row],[商品驗證登錄證書編號]] &amp; "_" &amp; TableA[[#This Row],[室外機型號]]</f>
        <v/>
      </c>
      <c r="H101" s="8" t="n"/>
    </row>
    <row r="102">
      <c r="A102" s="4" t="inlineStr">
        <is>
          <t>TERTEC</t>
        </is>
      </c>
      <c r="B102" s="4" t="inlineStr">
        <is>
          <t>VRV</t>
        </is>
      </c>
      <c r="C102" s="4" t="inlineStr">
        <is>
          <t>RXYQ14AYLT</t>
        </is>
      </c>
      <c r="D102" s="6" t="n"/>
      <c r="E102" s="4" t="inlineStr">
        <is>
          <t>CI3A2261861940</t>
        </is>
      </c>
      <c r="F102" s="5" t="n">
        <v>46257</v>
      </c>
      <c r="G102" s="8">
        <f>TableA[[#This Row],[商品驗證登錄證書編號]] &amp; "_" &amp; TableA[[#This Row],[室外機型號]]</f>
        <v/>
      </c>
      <c r="H102" s="8" t="n"/>
    </row>
    <row r="103">
      <c r="A103" s="4" t="inlineStr">
        <is>
          <t>TERTEC</t>
        </is>
      </c>
      <c r="B103" s="4" t="inlineStr">
        <is>
          <t>VRV</t>
        </is>
      </c>
      <c r="C103" s="4" t="inlineStr">
        <is>
          <t>RXYQ8AYLT</t>
        </is>
      </c>
      <c r="D103" s="6" t="n"/>
      <c r="E103" s="4" t="inlineStr">
        <is>
          <t>CI3A2261861951</t>
        </is>
      </c>
      <c r="F103" s="5" t="n">
        <v>46262</v>
      </c>
      <c r="G103" s="8">
        <f>TableA[[#This Row],[商品驗證登錄證書編號]] &amp; "_" &amp; TableA[[#This Row],[室外機型號]]</f>
        <v/>
      </c>
      <c r="H103" s="8" t="n"/>
    </row>
    <row r="104">
      <c r="A104" s="4" t="inlineStr">
        <is>
          <t>TERTEC</t>
        </is>
      </c>
      <c r="B104" s="4" t="inlineStr">
        <is>
          <t>VRV</t>
        </is>
      </c>
      <c r="C104" s="4" t="inlineStr">
        <is>
          <t>RXYQ18AYLT</t>
        </is>
      </c>
      <c r="D104" s="6" t="n"/>
      <c r="E104" s="4" t="inlineStr">
        <is>
          <t>CI3A2261861962</t>
        </is>
      </c>
      <c r="F104" s="5" t="n">
        <v>46262</v>
      </c>
      <c r="G104" s="8">
        <f>TableA[[#This Row],[商品驗證登錄證書編號]] &amp; "_" &amp; TableA[[#This Row],[室外機型號]]</f>
        <v/>
      </c>
      <c r="H104" s="8" t="n"/>
    </row>
    <row r="105">
      <c r="A105" s="4" t="inlineStr">
        <is>
          <t>TERTEC</t>
        </is>
      </c>
      <c r="B105" s="4" t="inlineStr">
        <is>
          <t>VRV</t>
        </is>
      </c>
      <c r="C105" s="4" t="inlineStr">
        <is>
          <t>RXYQ20AYLT</t>
        </is>
      </c>
      <c r="D105" s="4" t="n"/>
      <c r="E105" s="4" t="inlineStr">
        <is>
          <t>CI3A2261861962</t>
        </is>
      </c>
      <c r="F105" s="5" t="n">
        <v>46262</v>
      </c>
      <c r="G105" s="8">
        <f>TableA[[#This Row],[商品驗證登錄證書編號]] &amp; "_" &amp; TableA[[#This Row],[室外機型號]]</f>
        <v/>
      </c>
      <c r="H105" s="8" t="n"/>
    </row>
    <row r="106">
      <c r="A106" s="4" t="inlineStr">
        <is>
          <t>TERTEC</t>
        </is>
      </c>
      <c r="B106" s="4" t="inlineStr">
        <is>
          <t>VRV</t>
        </is>
      </c>
      <c r="C106" s="4" t="inlineStr">
        <is>
          <t>RXYQ16AYLT</t>
        </is>
      </c>
      <c r="D106" s="6" t="n"/>
      <c r="E106" s="4" t="inlineStr">
        <is>
          <t>CI3A2261861970</t>
        </is>
      </c>
      <c r="F106" s="5" t="n">
        <v>46271</v>
      </c>
      <c r="G106" s="8">
        <f>TableA[[#This Row],[商品驗證登錄證書編號]] &amp; "_" &amp; TableA[[#This Row],[室外機型號]]</f>
        <v/>
      </c>
      <c r="H106" s="8" t="n"/>
    </row>
    <row r="107">
      <c r="A107" s="4" t="inlineStr">
        <is>
          <t>TERTEC</t>
        </is>
      </c>
      <c r="B107" s="4" t="inlineStr">
        <is>
          <t>VRV</t>
        </is>
      </c>
      <c r="C107" s="4" t="inlineStr">
        <is>
          <t>RXYQ16PTLT</t>
        </is>
      </c>
      <c r="D107" s="6" t="n"/>
      <c r="E107" s="4" t="inlineStr">
        <is>
          <t>CI3A2261861981</t>
        </is>
      </c>
      <c r="F107" s="5" t="n">
        <v>46375</v>
      </c>
      <c r="G107" s="8">
        <f>TableA[[#This Row],[商品驗證登錄證書編號]] &amp; "_" &amp; TableA[[#This Row],[室外機型號]]</f>
        <v/>
      </c>
      <c r="H107" s="8" t="n"/>
    </row>
    <row r="108">
      <c r="A108" s="4" t="inlineStr">
        <is>
          <t>TERTEC</t>
        </is>
      </c>
      <c r="B108" s="4" t="inlineStr">
        <is>
          <t>VRV</t>
        </is>
      </c>
      <c r="C108" s="4" t="inlineStr">
        <is>
          <t>RXYQ14PTLT</t>
        </is>
      </c>
      <c r="D108" s="6" t="n"/>
      <c r="E108" s="4" t="inlineStr">
        <is>
          <t>CI3A3261862044</t>
        </is>
      </c>
      <c r="F108" s="5" t="n">
        <v>46404</v>
      </c>
      <c r="G108" s="8">
        <f>TableA[[#This Row],[商品驗證登錄證書編號]] &amp; "_" &amp; TableA[[#This Row],[室外機型號]]</f>
        <v/>
      </c>
      <c r="H108" s="8" t="n"/>
    </row>
    <row r="109">
      <c r="A109" s="4" t="inlineStr">
        <is>
          <t>TERTEC</t>
        </is>
      </c>
      <c r="B109" s="4" t="inlineStr">
        <is>
          <t>VRV</t>
        </is>
      </c>
      <c r="C109" s="4" t="inlineStr">
        <is>
          <t>RXYQ8PTLT</t>
        </is>
      </c>
      <c r="D109" s="6" t="n"/>
      <c r="E109" s="4" t="inlineStr">
        <is>
          <t>CI3A3261862055</t>
        </is>
      </c>
      <c r="F109" s="5" t="n">
        <v>46423</v>
      </c>
      <c r="G109" s="8">
        <f>TableA[[#This Row],[商品驗證登錄證書編號]] &amp; "_" &amp; TableA[[#This Row],[室外機型號]]</f>
        <v/>
      </c>
      <c r="H109" s="8" t="n"/>
    </row>
    <row r="110">
      <c r="A110" s="4" t="inlineStr">
        <is>
          <t>TERTEC</t>
        </is>
      </c>
      <c r="B110" s="4" t="inlineStr">
        <is>
          <t>VRV</t>
        </is>
      </c>
      <c r="C110" s="4" t="inlineStr">
        <is>
          <t>RXYQ12PTLT</t>
        </is>
      </c>
      <c r="D110" s="6" t="n"/>
      <c r="E110" s="4" t="inlineStr">
        <is>
          <t>CI3A3261862066</t>
        </is>
      </c>
      <c r="F110" s="5" t="n">
        <v>46423</v>
      </c>
      <c r="G110" s="8">
        <f>TableA[[#This Row],[商品驗證登錄證書編號]] &amp; "_" &amp; TableA[[#This Row],[室外機型號]]</f>
        <v/>
      </c>
      <c r="H110" s="8" t="n"/>
    </row>
    <row r="111">
      <c r="A111" s="4" t="inlineStr">
        <is>
          <t>TERTEC</t>
        </is>
      </c>
      <c r="B111" s="4" t="inlineStr">
        <is>
          <t>VRV</t>
        </is>
      </c>
      <c r="C111" s="4" t="inlineStr">
        <is>
          <t>RXYQ10PTLT</t>
        </is>
      </c>
      <c r="D111" s="6" t="n"/>
      <c r="E111" s="4" t="inlineStr">
        <is>
          <t>CI3A3261862124</t>
        </is>
      </c>
      <c r="F111" s="5" t="n">
        <v>46423</v>
      </c>
      <c r="G111" s="8">
        <f>TableA[[#This Row],[商品驗證登錄證書編號]] &amp; "_" &amp; TableA[[#This Row],[室外機型號]]</f>
        <v/>
      </c>
      <c r="H111" s="8" t="n"/>
    </row>
    <row r="112">
      <c r="A112" s="4" t="inlineStr">
        <is>
          <t>TERTEC</t>
        </is>
      </c>
      <c r="B112" s="4" t="inlineStr">
        <is>
          <t>VRV</t>
        </is>
      </c>
      <c r="C112" s="4" t="inlineStr">
        <is>
          <t>RXYCQ6AVET</t>
        </is>
      </c>
      <c r="D112" s="6" t="n"/>
      <c r="E112" s="4" t="inlineStr">
        <is>
          <t>CI3A2261861917</t>
        </is>
      </c>
      <c r="F112" s="5" t="n">
        <v>46235</v>
      </c>
      <c r="G112" s="8">
        <f>TableA[[#This Row],[商品驗證登錄證書編號]] &amp; "_" &amp; TableA[[#This Row],[室外機型號]]</f>
        <v/>
      </c>
      <c r="H112" s="8" t="n"/>
    </row>
    <row r="113">
      <c r="A113" s="4" t="inlineStr">
        <is>
          <t>TERTEC</t>
        </is>
      </c>
      <c r="B113" s="4" t="inlineStr">
        <is>
          <t>VRV</t>
        </is>
      </c>
      <c r="C113" s="4" t="inlineStr">
        <is>
          <t>RXYCQ5AVET</t>
        </is>
      </c>
      <c r="D113" s="6" t="n"/>
      <c r="E113" s="4" t="inlineStr">
        <is>
          <t>CI3A2261861917</t>
        </is>
      </c>
      <c r="F113" s="5" t="n">
        <v>46235</v>
      </c>
      <c r="G113" s="8">
        <f>TableA[[#This Row],[商品驗證登錄證書編號]] &amp; "_" &amp; TableA[[#This Row],[室外機型號]]</f>
        <v/>
      </c>
      <c r="H113" s="8" t="n"/>
    </row>
    <row r="114">
      <c r="A114" s="4" t="inlineStr">
        <is>
          <t>TERTEC</t>
        </is>
      </c>
      <c r="B114" s="4" t="inlineStr">
        <is>
          <t>VRV</t>
        </is>
      </c>
      <c r="C114" s="4" t="inlineStr">
        <is>
          <t>RXYCQ4AVET</t>
        </is>
      </c>
      <c r="D114" s="6" t="n"/>
      <c r="E114" s="4" t="inlineStr">
        <is>
          <t>CI3A2261861928</t>
        </is>
      </c>
      <c r="F114" s="5" t="n">
        <v>46241</v>
      </c>
      <c r="G114" s="8">
        <f>TableA[[#This Row],[商品驗證登錄證書編號]] &amp; "_" &amp; TableA[[#This Row],[室外機型號]]</f>
        <v/>
      </c>
      <c r="H114" s="8" t="n"/>
    </row>
    <row r="115">
      <c r="A115" s="4" t="inlineStr">
        <is>
          <t>TERTEC</t>
        </is>
      </c>
      <c r="B115" s="4" t="inlineStr">
        <is>
          <t>VRV</t>
        </is>
      </c>
      <c r="C115" s="4" t="inlineStr">
        <is>
          <t>RQYQ10TYLT</t>
        </is>
      </c>
      <c r="D115" s="6" t="n"/>
      <c r="E115" s="4" t="inlineStr">
        <is>
          <t>CI3A2261861677</t>
        </is>
      </c>
      <c r="F115" s="5" t="n">
        <v>47134</v>
      </c>
      <c r="G115" s="8">
        <f>TableA[[#This Row],[商品驗證登錄證書編號]] &amp; "_" &amp; TableA[[#This Row],[室外機型號]]</f>
        <v/>
      </c>
      <c r="H115" s="8" t="n"/>
    </row>
    <row r="116">
      <c r="A116" s="4" t="inlineStr">
        <is>
          <t>TERTEC</t>
        </is>
      </c>
      <c r="B116" s="4" t="inlineStr">
        <is>
          <t>VRV</t>
        </is>
      </c>
      <c r="C116" s="4" t="inlineStr">
        <is>
          <t>RQYQ16TYLT</t>
        </is>
      </c>
      <c r="D116" s="6" t="n"/>
      <c r="E116" s="4" t="inlineStr">
        <is>
          <t>CI3A2261861688</t>
        </is>
      </c>
      <c r="F116" s="5" t="n">
        <v>47134</v>
      </c>
      <c r="G116" s="8">
        <f>TableA[[#This Row],[商品驗證登錄證書編號]] &amp; "_" &amp; TableA[[#This Row],[室外機型號]]</f>
        <v/>
      </c>
      <c r="H116" s="8" t="n"/>
    </row>
    <row r="117">
      <c r="A117" s="4" t="inlineStr">
        <is>
          <t>TERTEC</t>
        </is>
      </c>
      <c r="B117" s="4" t="inlineStr">
        <is>
          <t>VRV</t>
        </is>
      </c>
      <c r="C117" s="4" t="inlineStr">
        <is>
          <t>RXYMQ10ARYLT</t>
        </is>
      </c>
      <c r="D117" s="6" t="n"/>
      <c r="E117" s="4" t="inlineStr">
        <is>
          <t>CI3A3261862146</t>
        </is>
      </c>
      <c r="F117" s="5" t="n">
        <v>46509</v>
      </c>
      <c r="G117" s="8">
        <f>TableA[[#This Row],[商品驗證登錄證書編號]] &amp; "_" &amp; TableA[[#This Row],[室外機型號]]</f>
        <v/>
      </c>
      <c r="H117" s="8" t="n"/>
    </row>
    <row r="118">
      <c r="A118" s="4" t="inlineStr">
        <is>
          <t>TERTEC</t>
        </is>
      </c>
      <c r="B118" s="4" t="inlineStr">
        <is>
          <t>VRV</t>
        </is>
      </c>
      <c r="C118" s="4" t="inlineStr">
        <is>
          <t>RXYMQ12ARYLT</t>
        </is>
      </c>
      <c r="D118" s="6" t="n"/>
      <c r="E118" s="4" t="inlineStr">
        <is>
          <t>CI3A3261862157</t>
        </is>
      </c>
      <c r="F118" s="5" t="n">
        <v>46514</v>
      </c>
      <c r="G118" s="8">
        <f>TableA[[#This Row],[商品驗證登錄證書編號]] &amp; "_" &amp; TableA[[#This Row],[室外機型號]]</f>
        <v/>
      </c>
      <c r="H118" s="8" t="n"/>
    </row>
    <row r="119">
      <c r="A119" s="4" t="inlineStr">
        <is>
          <t>TERTEC</t>
        </is>
      </c>
      <c r="B119" s="4" t="inlineStr">
        <is>
          <t>VRV</t>
        </is>
      </c>
      <c r="C119" s="4" t="inlineStr">
        <is>
          <t>RXYMQ8TTLT</t>
        </is>
      </c>
      <c r="D119" s="6" t="n"/>
      <c r="E119" s="4" t="inlineStr">
        <is>
          <t>CI3A2261861826</t>
        </is>
      </c>
      <c r="F119" s="5" t="n">
        <v>47276</v>
      </c>
      <c r="G119" s="8">
        <f>TableA[[#This Row],[商品驗證登錄證書編號]] &amp; "_" &amp; TableA[[#This Row],[室外機型號]]</f>
        <v/>
      </c>
      <c r="H119" s="8" t="n"/>
    </row>
    <row r="120">
      <c r="A120" s="4" t="inlineStr">
        <is>
          <t>TERTEC</t>
        </is>
      </c>
      <c r="B120" s="4" t="inlineStr">
        <is>
          <t>VRV</t>
        </is>
      </c>
      <c r="C120" s="4" t="inlineStr">
        <is>
          <t>RXYMQ10TTLT</t>
        </is>
      </c>
      <c r="D120" s="6" t="n"/>
      <c r="E120" s="4" t="inlineStr">
        <is>
          <t>CI3A2261861826</t>
        </is>
      </c>
      <c r="F120" s="5" t="n">
        <v>47276</v>
      </c>
      <c r="G120" s="8">
        <f>TableA[[#This Row],[商品驗證登錄證書編號]] &amp; "_" &amp; TableA[[#This Row],[室外機型號]]</f>
        <v/>
      </c>
      <c r="H120" s="8" t="n"/>
    </row>
    <row r="121">
      <c r="A121" s="4" t="inlineStr">
        <is>
          <t>TERTEC</t>
        </is>
      </c>
      <c r="B121" s="4" t="inlineStr">
        <is>
          <t>VRV</t>
        </is>
      </c>
      <c r="C121" s="4" t="inlineStr">
        <is>
          <t>RXYCQ6BVLT</t>
        </is>
      </c>
      <c r="D121" s="6" t="n"/>
      <c r="E121" s="4" t="inlineStr">
        <is>
          <t>CI3A4261862368</t>
        </is>
      </c>
      <c r="F121" s="5" t="n">
        <v>47081</v>
      </c>
      <c r="G121" s="8">
        <f>TableA[[#This Row],[商品驗證登錄證書編號]] &amp; "_" &amp; TableA[[#This Row],[室外機型號]]</f>
        <v/>
      </c>
      <c r="H121" s="8" t="n"/>
    </row>
    <row r="122">
      <c r="A122" s="4" t="inlineStr">
        <is>
          <t>TERTEC</t>
        </is>
      </c>
      <c r="B122" s="4" t="inlineStr">
        <is>
          <t>VRV</t>
        </is>
      </c>
      <c r="C122" s="4" t="inlineStr">
        <is>
          <t>RXYCQ5BVLT</t>
        </is>
      </c>
      <c r="D122" s="6" t="n"/>
      <c r="E122" s="4" t="inlineStr">
        <is>
          <t>CI3A4261862368</t>
        </is>
      </c>
      <c r="F122" s="5" t="n">
        <v>47081</v>
      </c>
      <c r="G122" s="8">
        <f>TableA[[#This Row],[商品驗證登錄證書編號]] &amp; "_" &amp; TableA[[#This Row],[室外機型號]]</f>
        <v/>
      </c>
      <c r="H122" s="8" t="n"/>
    </row>
    <row r="123">
      <c r="A123" s="4" t="inlineStr">
        <is>
          <t>TERTEC</t>
        </is>
      </c>
      <c r="B123" s="4" t="inlineStr">
        <is>
          <t>VRV</t>
        </is>
      </c>
      <c r="C123" s="4" t="inlineStr">
        <is>
          <t>RXYCQ4BVLT</t>
        </is>
      </c>
      <c r="D123" s="6" t="n"/>
      <c r="E123" s="4" t="inlineStr">
        <is>
          <t>CI3A4261862368</t>
        </is>
      </c>
      <c r="F123" s="5" t="n">
        <v>47081</v>
      </c>
      <c r="G123" s="8">
        <f>TableA[[#This Row],[商品驗證登錄證書編號]] &amp; "_" &amp; TableA[[#This Row],[室外機型號]]</f>
        <v/>
      </c>
      <c r="H123" s="8" t="n"/>
    </row>
    <row r="124">
      <c r="A124" s="4" t="inlineStr">
        <is>
          <t>TERTEC</t>
        </is>
      </c>
      <c r="B124" s="4" t="inlineStr">
        <is>
          <t>VRV</t>
        </is>
      </c>
      <c r="C124" s="4" t="inlineStr">
        <is>
          <t>RWEYQ6TYLT</t>
        </is>
      </c>
      <c r="D124" s="6" t="n"/>
      <c r="E124" s="4" t="inlineStr">
        <is>
          <t>CI3A2261862037</t>
        </is>
      </c>
      <c r="F124" s="5" t="n">
        <v>46404</v>
      </c>
      <c r="G124" s="8">
        <f>TableA[[#This Row],[商品驗證登錄證書編號]] &amp; "_" &amp; TableA[[#This Row],[室外機型號]]</f>
        <v/>
      </c>
      <c r="H124" s="8" t="n"/>
    </row>
    <row r="125">
      <c r="A125" s="4" t="inlineStr">
        <is>
          <t>TERTEC</t>
        </is>
      </c>
      <c r="B125" s="4" t="inlineStr">
        <is>
          <t>VRV</t>
        </is>
      </c>
      <c r="C125" s="4" t="inlineStr">
        <is>
          <t>RWEYQ8TYLT</t>
        </is>
      </c>
      <c r="D125" s="6" t="n"/>
      <c r="E125" s="4" t="inlineStr">
        <is>
          <t>CI3A2261862037</t>
        </is>
      </c>
      <c r="F125" s="5" t="n">
        <v>46404</v>
      </c>
      <c r="G125" s="8">
        <f>TableA[[#This Row],[商品驗證登錄證書編號]] &amp; "_" &amp; TableA[[#This Row],[室外機型號]]</f>
        <v/>
      </c>
      <c r="H125" s="8" t="n"/>
    </row>
    <row r="126">
      <c r="A126" s="4" t="inlineStr">
        <is>
          <t>TERTEC</t>
        </is>
      </c>
      <c r="B126" s="4" t="inlineStr">
        <is>
          <t>VRV</t>
        </is>
      </c>
      <c r="C126" s="4" t="inlineStr">
        <is>
          <t>RWEYQ10TYLT</t>
        </is>
      </c>
      <c r="D126" s="6" t="n"/>
      <c r="E126" s="4" t="inlineStr">
        <is>
          <t>CI3A2261862037</t>
        </is>
      </c>
      <c r="F126" s="5" t="n">
        <v>46404</v>
      </c>
      <c r="G126" s="8">
        <f>TableA[[#This Row],[商品驗證登錄證書編號]] &amp; "_" &amp; TableA[[#This Row],[室外機型號]]</f>
        <v/>
      </c>
      <c r="H126" s="8" t="n"/>
    </row>
    <row r="127">
      <c r="A127" s="4" t="inlineStr">
        <is>
          <t>TERTEC</t>
        </is>
      </c>
      <c r="B127" s="4" t="inlineStr">
        <is>
          <t>VRV</t>
        </is>
      </c>
      <c r="C127" s="4" t="inlineStr">
        <is>
          <t>RWEYQ12TYLT</t>
        </is>
      </c>
      <c r="D127" s="6" t="n"/>
      <c r="E127" s="4" t="inlineStr">
        <is>
          <t>CI3A2261862037</t>
        </is>
      </c>
      <c r="F127" s="5" t="n">
        <v>46404</v>
      </c>
      <c r="G127" s="8">
        <f>TableA[[#This Row],[商品驗證登錄證書編號]] &amp; "_" &amp; TableA[[#This Row],[室外機型號]]</f>
        <v/>
      </c>
      <c r="H127" s="8" t="n"/>
    </row>
    <row r="128">
      <c r="A128" s="4" t="inlineStr">
        <is>
          <t>MIRDC</t>
        </is>
      </c>
      <c r="B128" s="4" t="inlineStr">
        <is>
          <t>RA</t>
        </is>
      </c>
      <c r="C128" s="4" t="inlineStr">
        <is>
          <t>RXV80XVLT</t>
        </is>
      </c>
      <c r="D128" s="4" t="inlineStr">
        <is>
          <t>FTXV80XVLT</t>
        </is>
      </c>
      <c r="E128" s="4" t="inlineStr">
        <is>
          <t>CI3A2561861744</t>
        </is>
      </c>
      <c r="F128" s="5" t="n">
        <v>47158</v>
      </c>
      <c r="G128" s="8">
        <f>TableA[[#This Row],[商品驗證登錄證書編號]] &amp; "_" &amp; TableA[[#This Row],[室外機型號]]</f>
        <v/>
      </c>
      <c r="H128" s="8" t="n"/>
    </row>
    <row r="129">
      <c r="A129" s="4" t="inlineStr">
        <is>
          <t>MIRDC</t>
        </is>
      </c>
      <c r="B129" s="4" t="inlineStr">
        <is>
          <t>RA</t>
        </is>
      </c>
      <c r="C129" s="4" t="inlineStr">
        <is>
          <t>RXV90XVLT</t>
        </is>
      </c>
      <c r="D129" s="4" t="inlineStr">
        <is>
          <t>FTXV90XVLT</t>
        </is>
      </c>
      <c r="E129" s="4" t="inlineStr">
        <is>
          <t>CI3A2561861744</t>
        </is>
      </c>
      <c r="F129" s="5" t="n">
        <v>47158</v>
      </c>
      <c r="G129" s="8">
        <f>TableA[[#This Row],[商品驗證登錄證書編號]] &amp; "_" &amp; TableA[[#This Row],[室外機型號]]</f>
        <v/>
      </c>
      <c r="H129" s="8" t="n"/>
    </row>
    <row r="130">
      <c r="A130" s="8" t="inlineStr">
        <is>
          <t>ETC</t>
        </is>
      </c>
      <c r="B130" s="8" t="inlineStr">
        <is>
          <t>SA</t>
        </is>
      </c>
      <c r="C130" s="8" t="inlineStr">
        <is>
          <t>RZF71CVLT</t>
        </is>
      </c>
      <c r="D130" s="8" t="inlineStr">
        <is>
          <t>FCA71CVLT</t>
        </is>
      </c>
      <c r="E130" s="8" t="inlineStr">
        <is>
          <t>CI3A8161861185</t>
        </is>
      </c>
      <c r="F130" s="7" t="n">
        <v>45981</v>
      </c>
      <c r="G130" s="8">
        <f>TableA[[#This Row],[商品驗證登錄證書編號]] &amp; "_" &amp; TableA[[#This Row],[室外機型號]]</f>
        <v/>
      </c>
      <c r="H130" s="8" t="n"/>
    </row>
    <row r="131">
      <c r="A131" s="8" t="inlineStr">
        <is>
          <t>ETC</t>
        </is>
      </c>
      <c r="B131" s="8" t="inlineStr">
        <is>
          <t>SA</t>
        </is>
      </c>
      <c r="C131" s="8" t="inlineStr">
        <is>
          <t>RZF100CTLT</t>
        </is>
      </c>
      <c r="D131" s="8" t="inlineStr">
        <is>
          <t>FCA100CVLT</t>
        </is>
      </c>
      <c r="E131" s="8" t="inlineStr">
        <is>
          <t>CI3A9161861374</t>
        </is>
      </c>
      <c r="F131" s="7" t="n">
        <v>46140</v>
      </c>
      <c r="G131" s="8">
        <f>TableA[[#This Row],[商品驗證登錄證書編號]] &amp; "_" &amp; TableA[[#This Row],[室外機型號]]</f>
        <v/>
      </c>
      <c r="H131" s="8" t="n"/>
    </row>
    <row r="132">
      <c r="A132" s="8" t="inlineStr">
        <is>
          <t>ETC</t>
        </is>
      </c>
      <c r="B132" s="8" t="inlineStr">
        <is>
          <t>SA</t>
        </is>
      </c>
      <c r="C132" s="8" t="inlineStr">
        <is>
          <t>RZF125CTLT</t>
        </is>
      </c>
      <c r="D132" s="8" t="inlineStr">
        <is>
          <t>FCA125CVLT</t>
        </is>
      </c>
      <c r="E132" s="8" t="inlineStr">
        <is>
          <t>CI3A9161861374</t>
        </is>
      </c>
      <c r="F132" s="7" t="n">
        <v>46140</v>
      </c>
      <c r="G132" s="8">
        <f>TableA[[#This Row],[商品驗證登錄證書編號]] &amp; "_" &amp; TableA[[#This Row],[室外機型號]]</f>
        <v/>
      </c>
      <c r="H132" s="8" t="n"/>
    </row>
    <row r="133">
      <c r="A133" s="8" t="inlineStr">
        <is>
          <t>ETC</t>
        </is>
      </c>
      <c r="B133" s="8" t="inlineStr">
        <is>
          <t>SA</t>
        </is>
      </c>
      <c r="C133" s="8" t="inlineStr">
        <is>
          <t>RZF140CTLT</t>
        </is>
      </c>
      <c r="D133" s="8" t="inlineStr">
        <is>
          <t>FCA140CVLT</t>
        </is>
      </c>
      <c r="E133" s="8" t="inlineStr">
        <is>
          <t>CI3A9161861374</t>
        </is>
      </c>
      <c r="F133" s="7" t="n">
        <v>46140</v>
      </c>
      <c r="G133" s="8">
        <f>TableA[[#This Row],[商品驗證登錄證書編號]] &amp; "_" &amp; TableA[[#This Row],[室外機型號]]</f>
        <v/>
      </c>
      <c r="H133" s="8" t="n"/>
    </row>
    <row r="134">
      <c r="A134" s="8" t="inlineStr">
        <is>
          <t>ETC</t>
        </is>
      </c>
      <c r="B134" s="8" t="inlineStr">
        <is>
          <t>RA</t>
        </is>
      </c>
      <c r="C134" s="8" t="inlineStr">
        <is>
          <t>RXV60UVLT</t>
        </is>
      </c>
      <c r="D134" s="8" t="inlineStr">
        <is>
          <t>FTXV60UVLT</t>
        </is>
      </c>
      <c r="E134" s="8" t="inlineStr">
        <is>
          <t>CI3A8161861221</t>
        </is>
      </c>
      <c r="F134" s="7" t="n">
        <v>46003</v>
      </c>
      <c r="G134" s="8">
        <f>TableA[[#This Row],[商品驗證登錄證書編號]] &amp; "_" &amp; TableA[[#This Row],[室外機型號]]</f>
        <v/>
      </c>
      <c r="H134" s="8" t="n"/>
    </row>
    <row r="135">
      <c r="A135" s="8" t="inlineStr">
        <is>
          <t>ETC</t>
        </is>
      </c>
      <c r="B135" s="8" t="inlineStr">
        <is>
          <t>RA</t>
        </is>
      </c>
      <c r="C135" s="8" t="inlineStr">
        <is>
          <t>RXV22SAVLT</t>
        </is>
      </c>
      <c r="D135" s="8" t="inlineStr">
        <is>
          <t>FTXV22SAVLT</t>
        </is>
      </c>
      <c r="E135" s="8" t="inlineStr">
        <is>
          <t>CI3A8161861196</t>
        </is>
      </c>
      <c r="F135" s="7" t="n">
        <v>45999</v>
      </c>
      <c r="G135" s="8">
        <f>TableA[[#This Row],[商品驗證登錄證書編號]] &amp; "_" &amp; TableA[[#This Row],[室外機型號]]</f>
        <v/>
      </c>
      <c r="H135" s="8" t="n"/>
    </row>
    <row r="136">
      <c r="A136" s="8" t="inlineStr">
        <is>
          <t>ETC</t>
        </is>
      </c>
      <c r="B136" s="8" t="inlineStr">
        <is>
          <t>RA</t>
        </is>
      </c>
      <c r="C136" s="8" t="inlineStr">
        <is>
          <t>RXV28SAVLT</t>
        </is>
      </c>
      <c r="D136" s="8" t="inlineStr">
        <is>
          <t>FTXV28SAVLT</t>
        </is>
      </c>
      <c r="E136" s="8" t="n"/>
      <c r="F136" s="7" t="n">
        <v>45999</v>
      </c>
      <c r="G136" s="8">
        <f>TableA[[#This Row],[商品驗證登錄證書編號]] &amp; "_" &amp; TableA[[#This Row],[室外機型號]]</f>
        <v/>
      </c>
      <c r="H136" s="8" t="n"/>
    </row>
    <row r="137">
      <c r="A137" s="8" t="inlineStr">
        <is>
          <t>ETC</t>
        </is>
      </c>
      <c r="B137" s="8" t="inlineStr">
        <is>
          <t>RA</t>
        </is>
      </c>
      <c r="C137" s="8" t="inlineStr">
        <is>
          <t>RXV36SAVLT</t>
        </is>
      </c>
      <c r="D137" s="8" t="inlineStr">
        <is>
          <t>FTXV36SAVLT</t>
        </is>
      </c>
      <c r="E137" s="8" t="inlineStr">
        <is>
          <t>CI3A9161861385</t>
        </is>
      </c>
      <c r="F137" s="7" t="n">
        <v>46139</v>
      </c>
      <c r="G137" s="8">
        <f>TableA[[#This Row],[商品驗證登錄證書編號]] &amp; "_" &amp; TableA[[#This Row],[室外機型號]]</f>
        <v/>
      </c>
      <c r="H137" s="8" t="n"/>
    </row>
    <row r="138">
      <c r="A138" s="8" t="inlineStr">
        <is>
          <t>ETC</t>
        </is>
      </c>
      <c r="B138" s="8" t="inlineStr">
        <is>
          <t>RA</t>
        </is>
      </c>
      <c r="C138" s="8" t="inlineStr">
        <is>
          <t>RXV41SAVLT</t>
        </is>
      </c>
      <c r="D138" s="8" t="inlineStr">
        <is>
          <t>FTXV41SAVLT</t>
        </is>
      </c>
      <c r="E138" s="8" t="inlineStr">
        <is>
          <t>CI3A8161861210</t>
        </is>
      </c>
      <c r="F138" s="7" t="n">
        <v>46003</v>
      </c>
      <c r="G138" s="8">
        <f>TableA[[#This Row],[商品驗證登錄證書編號]] &amp; "_" &amp; TableA[[#This Row],[室外機型號]]</f>
        <v/>
      </c>
      <c r="H138" s="8" t="n"/>
    </row>
    <row r="139">
      <c r="A139" s="8" t="inlineStr">
        <is>
          <t>ETC</t>
        </is>
      </c>
      <c r="B139" s="8" t="inlineStr">
        <is>
          <t>RA</t>
        </is>
      </c>
      <c r="C139" s="8" t="inlineStr">
        <is>
          <t>RXV41UVLT</t>
        </is>
      </c>
      <c r="D139" s="8" t="inlineStr">
        <is>
          <t>FTXV41UVLT</t>
        </is>
      </c>
      <c r="E139" s="8" t="inlineStr">
        <is>
          <t>CI3A8161861210</t>
        </is>
      </c>
      <c r="F139" s="7" t="n">
        <v>46003</v>
      </c>
      <c r="G139" s="8">
        <f>TableA[[#This Row],[商品驗證登錄證書編號]] &amp; "_" &amp; TableA[[#This Row],[室外機型號]]</f>
        <v/>
      </c>
      <c r="H139" s="8" t="n"/>
    </row>
    <row r="140">
      <c r="A140" s="8" t="inlineStr">
        <is>
          <t>ETC</t>
        </is>
      </c>
      <c r="B140" s="8" t="inlineStr">
        <is>
          <t>RA</t>
        </is>
      </c>
      <c r="C140" s="8" t="inlineStr">
        <is>
          <t>RXV50SAVLT</t>
        </is>
      </c>
      <c r="D140" s="8" t="inlineStr">
        <is>
          <t>FTXV50SAVLT</t>
        </is>
      </c>
      <c r="E140" s="8" t="inlineStr">
        <is>
          <t>CI3A8161861210</t>
        </is>
      </c>
      <c r="F140" s="7" t="n">
        <v>46003</v>
      </c>
      <c r="G140" s="8">
        <f>TableA[[#This Row],[商品驗證登錄證書編號]] &amp; "_" &amp; TableA[[#This Row],[室外機型號]]</f>
        <v/>
      </c>
      <c r="H140" s="8" t="n"/>
    </row>
    <row r="141">
      <c r="A141" s="8" t="inlineStr">
        <is>
          <t>ETC</t>
        </is>
      </c>
      <c r="B141" s="8" t="inlineStr">
        <is>
          <t>RA</t>
        </is>
      </c>
      <c r="C141" s="8" t="inlineStr">
        <is>
          <t>RXV50UVLT</t>
        </is>
      </c>
      <c r="D141" s="8" t="inlineStr">
        <is>
          <t>FTXV50UVLT</t>
        </is>
      </c>
      <c r="E141" s="8" t="inlineStr">
        <is>
          <t>CI3A8161861210</t>
        </is>
      </c>
      <c r="F141" s="7" t="n">
        <v>46003</v>
      </c>
      <c r="G141" s="8">
        <f>TableA[[#This Row],[商品驗證登錄證書編號]] &amp; "_" &amp; TableA[[#This Row],[室外機型號]]</f>
        <v/>
      </c>
      <c r="H141" s="8" t="n"/>
    </row>
    <row r="142">
      <c r="A142" s="8" t="inlineStr">
        <is>
          <t>MIRDC</t>
        </is>
      </c>
      <c r="B142" s="8" t="inlineStr">
        <is>
          <t>RA</t>
        </is>
      </c>
      <c r="C142" s="8" t="inlineStr">
        <is>
          <t>RXV22XVLT</t>
        </is>
      </c>
      <c r="D142" s="8" t="inlineStr">
        <is>
          <t>FTXV22XVLT</t>
        </is>
      </c>
      <c r="E142" s="8" t="inlineStr">
        <is>
          <t>CI3A2561861697</t>
        </is>
      </c>
      <c r="F142" s="9" t="n">
        <v>46062</v>
      </c>
      <c r="G142" s="8">
        <f>TableA[[#This Row],[商品驗證登錄證書編號]] &amp; "_" &amp; TableA[[#This Row],[室外機型號]]</f>
        <v/>
      </c>
      <c r="H142" s="8" t="n"/>
    </row>
    <row r="143">
      <c r="A143" s="8" t="inlineStr">
        <is>
          <t>MIRDC</t>
        </is>
      </c>
      <c r="B143" s="8" t="inlineStr">
        <is>
          <t>RA</t>
        </is>
      </c>
      <c r="C143" s="8" t="inlineStr">
        <is>
          <t>RXV28XVLT</t>
        </is>
      </c>
      <c r="D143" s="8" t="inlineStr">
        <is>
          <t>FTXV28XVLT</t>
        </is>
      </c>
      <c r="E143" s="8" t="inlineStr">
        <is>
          <t>CI3A2561861697</t>
        </is>
      </c>
      <c r="F143" s="9" t="n">
        <v>46062</v>
      </c>
      <c r="G143" s="8">
        <f>TableA[[#This Row],[商品驗證登錄證書編號]] &amp; "_" &amp; TableA[[#This Row],[室外機型號]]</f>
        <v/>
      </c>
      <c r="H143" s="8" t="n"/>
    </row>
    <row r="144">
      <c r="A144" s="8" t="inlineStr">
        <is>
          <t>MIRDC</t>
        </is>
      </c>
      <c r="B144" s="8" t="inlineStr">
        <is>
          <t>RA</t>
        </is>
      </c>
      <c r="C144" s="8" t="inlineStr">
        <is>
          <t>RXV36XVLT</t>
        </is>
      </c>
      <c r="D144" s="8" t="inlineStr">
        <is>
          <t>FTXV36XVLT</t>
        </is>
      </c>
      <c r="E144" s="8" t="inlineStr">
        <is>
          <t>CI3A2561861700</t>
        </is>
      </c>
      <c r="F144" s="9" t="n">
        <v>46066</v>
      </c>
      <c r="G144" s="8">
        <f>TableA[[#This Row],[商品驗證登錄證書編號]] &amp; "_" &amp; TableA[[#This Row],[室外機型號]]</f>
        <v/>
      </c>
      <c r="H144" s="8" t="n"/>
    </row>
    <row r="145">
      <c r="A145" s="8" t="inlineStr">
        <is>
          <t>MIRDC</t>
        </is>
      </c>
      <c r="B145" s="8" t="inlineStr">
        <is>
          <t>RA</t>
        </is>
      </c>
      <c r="C145" s="8" t="inlineStr">
        <is>
          <t>RXV41XVLT</t>
        </is>
      </c>
      <c r="D145" s="8" t="inlineStr">
        <is>
          <t>FTXV41XVLT</t>
        </is>
      </c>
      <c r="E145" s="8" t="inlineStr">
        <is>
          <t>CI3A2561861711</t>
        </is>
      </c>
      <c r="F145" s="9" t="n">
        <v>46062</v>
      </c>
      <c r="G145" s="8">
        <f>TableA[[#This Row],[商品驗證登錄證書編號]] &amp; "_" &amp; TableA[[#This Row],[室外機型號]]</f>
        <v/>
      </c>
      <c r="H145" s="8" t="n"/>
    </row>
    <row r="146">
      <c r="A146" s="8" t="inlineStr">
        <is>
          <t>MIRDC</t>
        </is>
      </c>
      <c r="B146" s="8" t="inlineStr">
        <is>
          <t>RA</t>
        </is>
      </c>
      <c r="C146" s="8" t="inlineStr">
        <is>
          <t>RXV50XVLT</t>
        </is>
      </c>
      <c r="D146" s="8" t="inlineStr">
        <is>
          <t>FTXV50XVLT</t>
        </is>
      </c>
      <c r="E146" s="8" t="inlineStr">
        <is>
          <t>CI3A2561861711</t>
        </is>
      </c>
      <c r="F146" s="9" t="n">
        <v>46062</v>
      </c>
      <c r="G146" s="8">
        <f>TableA[[#This Row],[商品驗證登錄證書編號]] &amp; "_" &amp; TableA[[#This Row],[室外機型號]]</f>
        <v/>
      </c>
      <c r="H146" s="8" t="n"/>
    </row>
    <row r="147">
      <c r="A147" s="8" t="inlineStr">
        <is>
          <t>MIRDC</t>
        </is>
      </c>
      <c r="B147" s="8" t="inlineStr">
        <is>
          <t>RA</t>
        </is>
      </c>
      <c r="C147" s="8" t="inlineStr">
        <is>
          <t>RXV60XVLT</t>
        </is>
      </c>
      <c r="D147" s="8" t="inlineStr">
        <is>
          <t>FTXV60XVLT</t>
        </is>
      </c>
      <c r="E147" s="8" t="inlineStr">
        <is>
          <t>C13A2561861722</t>
        </is>
      </c>
      <c r="F147" s="9" t="n">
        <v>46062</v>
      </c>
      <c r="G147" s="8">
        <f>TableA[[#This Row],[商品驗證登錄證書編號]] &amp; "_" &amp; TableA[[#This Row],[室外機型號]]</f>
        <v/>
      </c>
      <c r="H147" s="8" t="n"/>
    </row>
    <row r="148">
      <c r="A148" s="8" t="inlineStr">
        <is>
          <t>MIRDC</t>
        </is>
      </c>
      <c r="B148" s="8" t="inlineStr">
        <is>
          <t>RA</t>
        </is>
      </c>
      <c r="C148" s="8" t="inlineStr">
        <is>
          <t>RXV71XVLT</t>
        </is>
      </c>
      <c r="D148" s="8" t="inlineStr">
        <is>
          <t>FTXV71XVLT</t>
        </is>
      </c>
      <c r="E148" s="8" t="inlineStr">
        <is>
          <t>C13A2561861755</t>
        </is>
      </c>
      <c r="F148" s="9" t="n">
        <v>46062</v>
      </c>
      <c r="G148" s="8">
        <f>TableA[[#This Row],[商品驗證登錄證書編號]] &amp; "_" &amp; TableA[[#This Row],[室外機型號]]</f>
        <v/>
      </c>
      <c r="H148" s="8" t="n"/>
    </row>
    <row r="149">
      <c r="A149" s="8" t="inlineStr">
        <is>
          <t>TERTEC</t>
        </is>
      </c>
      <c r="B149" s="8" t="n"/>
      <c r="C149" s="8" t="inlineStr">
        <is>
          <t>RXYMQ8TYLT</t>
        </is>
      </c>
      <c r="D149" s="8" t="inlineStr"/>
      <c r="E149" s="8" t="inlineStr">
        <is>
          <t>CI3A9261861236</t>
        </is>
      </c>
      <c r="F149" s="16" t="inlineStr">
        <is>
          <t>2023/01/16</t>
        </is>
      </c>
      <c r="G149" s="8">
        <f>E149&amp;"_"&amp;C149</f>
        <v/>
      </c>
      <c r="H149" s="8" t="inlineStr">
        <is>
          <t>2026/06/12 16:40:32</t>
        </is>
      </c>
    </row>
    <row r="150">
      <c r="A150" s="8" t="inlineStr">
        <is>
          <t>TERTEC</t>
        </is>
      </c>
      <c r="B150" s="8" t="n"/>
      <c r="C150" s="8" t="inlineStr">
        <is>
          <t>RXYMQ10TYLT</t>
        </is>
      </c>
      <c r="D150" s="8" t="inlineStr"/>
      <c r="E150" s="8" t="inlineStr">
        <is>
          <t>CI3A9261861236</t>
        </is>
      </c>
      <c r="F150" s="16" t="inlineStr">
        <is>
          <t>2023/01/16</t>
        </is>
      </c>
      <c r="G150" s="8">
        <f>E150&amp;"_"&amp;C150</f>
        <v/>
      </c>
      <c r="H150" s="8" t="inlineStr">
        <is>
          <t>2026/06/12 16:40:32</t>
        </is>
      </c>
    </row>
  </sheetData>
  <conditionalFormatting sqref="A1">
    <cfRule type="cellIs" priority="120" operator="equal" dxfId="113">
      <formula>"TERTEC"</formula>
    </cfRule>
    <cfRule type="cellIs" priority="121" operator="equal" dxfId="112">
      <formula>"ETC"</formula>
    </cfRule>
  </conditionalFormatting>
  <conditionalFormatting sqref="E3:E18 E23 E27 E29:E30 E32:E34 E36 E39:E40 E42:E43 E45 E50 E52:E57 E59:E61 E64:E66 E68:E69 E71:E72 E74 E77 E80 E83 E87:E88 E90:E95 E97:E98 E102:E104 E106:E112 E114:E119 E121 E124 E128 E130:E131 E134:E138 E142 E144:E145 E147:E148">
    <cfRule type="expression" priority="115" dxfId="1">
      <formula>AND(F3&lt;&gt;"", F3-TODAY()&lt;90)</formula>
    </cfRule>
    <cfRule type="expression" priority="116" dxfId="0">
      <formula>AND(F3&lt;&gt;"", F3&lt;TODAY())</formula>
    </cfRule>
  </conditionalFormatting>
  <conditionalFormatting sqref="E132">
    <cfRule type="expression" priority="113" dxfId="1">
      <formula>AND(F132&lt;&gt;"", F132-TODAY()&lt;90)</formula>
    </cfRule>
    <cfRule type="expression" priority="114" dxfId="0">
      <formula>AND(F132&lt;&gt;"", F132&lt;TODAY())</formula>
    </cfRule>
  </conditionalFormatting>
  <conditionalFormatting sqref="E133">
    <cfRule type="expression" priority="111" dxfId="1">
      <formula>AND(F133&lt;&gt;"", F133-TODAY()&lt;90)</formula>
    </cfRule>
    <cfRule type="expression" priority="112" dxfId="0">
      <formula>AND(F133&lt;&gt;"", F133&lt;TODAY())</formula>
    </cfRule>
  </conditionalFormatting>
  <conditionalFormatting sqref="E19">
    <cfRule type="expression" priority="109" dxfId="1">
      <formula>AND(F19&lt;&gt;"", F19-TODAY()&lt;90)</formula>
    </cfRule>
    <cfRule type="expression" priority="110" dxfId="0">
      <formula>AND(F19&lt;&gt;"", F19&lt;TODAY())</formula>
    </cfRule>
  </conditionalFormatting>
  <conditionalFormatting sqref="E20">
    <cfRule type="expression" priority="107" dxfId="1">
      <formula>AND(F20&lt;&gt;"", F20-TODAY()&lt;90)</formula>
    </cfRule>
    <cfRule type="expression" priority="108" dxfId="0">
      <formula>AND(F20&lt;&gt;"", F20&lt;TODAY())</formula>
    </cfRule>
  </conditionalFormatting>
  <conditionalFormatting sqref="E21">
    <cfRule type="expression" priority="105" dxfId="1">
      <formula>AND(F21&lt;&gt;"", F21-TODAY()&lt;90)</formula>
    </cfRule>
    <cfRule type="expression" priority="106" dxfId="0">
      <formula>AND(F21&lt;&gt;"", F21&lt;TODAY())</formula>
    </cfRule>
  </conditionalFormatting>
  <conditionalFormatting sqref="E22">
    <cfRule type="expression" priority="103" dxfId="1">
      <formula>AND(F22&lt;&gt;"", F22-TODAY()&lt;90)</formula>
    </cfRule>
    <cfRule type="expression" priority="104" dxfId="0">
      <formula>AND(F22&lt;&gt;"", F22&lt;TODAY())</formula>
    </cfRule>
  </conditionalFormatting>
  <conditionalFormatting sqref="E24">
    <cfRule type="expression" priority="101" dxfId="1">
      <formula>AND(F24&lt;&gt;"", F24-TODAY()&lt;90)</formula>
    </cfRule>
    <cfRule type="expression" priority="102" dxfId="0">
      <formula>AND(F24&lt;&gt;"", F24&lt;TODAY())</formula>
    </cfRule>
  </conditionalFormatting>
  <conditionalFormatting sqref="E26">
    <cfRule type="expression" priority="99" dxfId="1">
      <formula>AND(F26&lt;&gt;"", F26-TODAY()&lt;90)</formula>
    </cfRule>
    <cfRule type="expression" priority="100" dxfId="0">
      <formula>AND(F26&lt;&gt;"", F26&lt;TODAY())</formula>
    </cfRule>
  </conditionalFormatting>
  <conditionalFormatting sqref="E25">
    <cfRule type="expression" priority="97" dxfId="1">
      <formula>AND(F25&lt;&gt;"", F25-TODAY()&lt;90)</formula>
    </cfRule>
    <cfRule type="expression" priority="98" dxfId="0">
      <formula>AND(F25&lt;&gt;"", F25&lt;TODAY())</formula>
    </cfRule>
  </conditionalFormatting>
  <conditionalFormatting sqref="E28">
    <cfRule type="expression" priority="95" dxfId="1">
      <formula>AND(F28&lt;&gt;"", F28-TODAY()&lt;90)</formula>
    </cfRule>
    <cfRule type="expression" priority="96" dxfId="0">
      <formula>AND(F28&lt;&gt;"", F28&lt;TODAY())</formula>
    </cfRule>
  </conditionalFormatting>
  <conditionalFormatting sqref="E31">
    <cfRule type="expression" priority="93" dxfId="1">
      <formula>AND(F31&lt;&gt;"", F31-TODAY()&lt;90)</formula>
    </cfRule>
    <cfRule type="expression" priority="94" dxfId="0">
      <formula>AND(F31&lt;&gt;"", F31&lt;TODAY())</formula>
    </cfRule>
  </conditionalFormatting>
  <conditionalFormatting sqref="E35">
    <cfRule type="expression" priority="91" dxfId="1">
      <formula>AND(F35&lt;&gt;"", F35-TODAY()&lt;90)</formula>
    </cfRule>
    <cfRule type="expression" priority="92" dxfId="0">
      <formula>AND(F35&lt;&gt;"", F35&lt;TODAY())</formula>
    </cfRule>
  </conditionalFormatting>
  <conditionalFormatting sqref="E37">
    <cfRule type="expression" priority="89" dxfId="1">
      <formula>AND(F37&lt;&gt;"", F37-TODAY()&lt;90)</formula>
    </cfRule>
    <cfRule type="expression" priority="90" dxfId="0">
      <formula>AND(F37&lt;&gt;"", F37&lt;TODAY())</formula>
    </cfRule>
  </conditionalFormatting>
  <conditionalFormatting sqref="E38">
    <cfRule type="expression" priority="87" dxfId="1">
      <formula>AND(F38&lt;&gt;"", F38-TODAY()&lt;90)</formula>
    </cfRule>
    <cfRule type="expression" priority="88" dxfId="0">
      <formula>AND(F38&lt;&gt;"", F38&lt;TODAY())</formula>
    </cfRule>
  </conditionalFormatting>
  <conditionalFormatting sqref="E41">
    <cfRule type="expression" priority="85" dxfId="1">
      <formula>AND(F41&lt;&gt;"", F41-TODAY()&lt;90)</formula>
    </cfRule>
    <cfRule type="expression" priority="86" dxfId="0">
      <formula>AND(F41&lt;&gt;"", F41&lt;TODAY())</formula>
    </cfRule>
  </conditionalFormatting>
  <conditionalFormatting sqref="E44">
    <cfRule type="expression" priority="83" dxfId="1">
      <formula>AND(F44&lt;&gt;"", F44-TODAY()&lt;90)</formula>
    </cfRule>
    <cfRule type="expression" priority="84" dxfId="0">
      <formula>AND(F44&lt;&gt;"", F44&lt;TODAY())</formula>
    </cfRule>
  </conditionalFormatting>
  <conditionalFormatting sqref="E46">
    <cfRule type="expression" priority="81" dxfId="1">
      <formula>AND(F46&lt;&gt;"", F46-TODAY()&lt;90)</formula>
    </cfRule>
    <cfRule type="expression" priority="82" dxfId="0">
      <formula>AND(F46&lt;&gt;"", F46&lt;TODAY())</formula>
    </cfRule>
  </conditionalFormatting>
  <conditionalFormatting sqref="E48">
    <cfRule type="expression" priority="79" dxfId="1">
      <formula>AND(F48&lt;&gt;"", F48-TODAY()&lt;90)</formula>
    </cfRule>
    <cfRule type="expression" priority="80" dxfId="0">
      <formula>AND(F48&lt;&gt;"", F48&lt;TODAY())</formula>
    </cfRule>
  </conditionalFormatting>
  <conditionalFormatting sqref="E47">
    <cfRule type="expression" priority="77" dxfId="1">
      <formula>AND(F47&lt;&gt;"", F47-TODAY()&lt;90)</formula>
    </cfRule>
    <cfRule type="expression" priority="78" dxfId="0">
      <formula>AND(F47&lt;&gt;"", F47&lt;TODAY())</formula>
    </cfRule>
  </conditionalFormatting>
  <conditionalFormatting sqref="E49">
    <cfRule type="expression" priority="75" dxfId="1">
      <formula>AND(F49&lt;&gt;"", F49-TODAY()&lt;90)</formula>
    </cfRule>
    <cfRule type="expression" priority="76" dxfId="0">
      <formula>AND(F49&lt;&gt;"", F49&lt;TODAY())</formula>
    </cfRule>
  </conditionalFormatting>
  <conditionalFormatting sqref="E51">
    <cfRule type="expression" priority="73" dxfId="1">
      <formula>AND(F51&lt;&gt;"", F51-TODAY()&lt;90)</formula>
    </cfRule>
    <cfRule type="expression" priority="74" dxfId="0">
      <formula>AND(F51&lt;&gt;"", F51&lt;TODAY())</formula>
    </cfRule>
  </conditionalFormatting>
  <conditionalFormatting sqref="E58">
    <cfRule type="expression" priority="71" dxfId="1">
      <formula>AND(F58&lt;&gt;"", F58-TODAY()&lt;90)</formula>
    </cfRule>
    <cfRule type="expression" priority="72" dxfId="0">
      <formula>AND(F58&lt;&gt;"", F58&lt;TODAY())</formula>
    </cfRule>
  </conditionalFormatting>
  <conditionalFormatting sqref="E62">
    <cfRule type="expression" priority="69" dxfId="1">
      <formula>AND(F62&lt;&gt;"", F62-TODAY()&lt;90)</formula>
    </cfRule>
    <cfRule type="expression" priority="70" dxfId="0">
      <formula>AND(F62&lt;&gt;"", F62&lt;TODAY())</formula>
    </cfRule>
  </conditionalFormatting>
  <conditionalFormatting sqref="E63">
    <cfRule type="expression" priority="67" dxfId="1">
      <formula>AND(F63&lt;&gt;"", F63-TODAY()&lt;90)</formula>
    </cfRule>
    <cfRule type="expression" priority="68" dxfId="0">
      <formula>AND(F63&lt;&gt;"", F63&lt;TODAY())</formula>
    </cfRule>
  </conditionalFormatting>
  <conditionalFormatting sqref="E67">
    <cfRule type="expression" priority="65" dxfId="1">
      <formula>AND(F67&lt;&gt;"", F67-TODAY()&lt;90)</formula>
    </cfRule>
    <cfRule type="expression" priority="66" dxfId="0">
      <formula>AND(F67&lt;&gt;"", F67&lt;TODAY())</formula>
    </cfRule>
  </conditionalFormatting>
  <conditionalFormatting sqref="E70">
    <cfRule type="expression" priority="63" dxfId="1">
      <formula>AND(F70&lt;&gt;"", F70-TODAY()&lt;90)</formula>
    </cfRule>
    <cfRule type="expression" priority="64" dxfId="0">
      <formula>AND(F70&lt;&gt;"", F70&lt;TODAY())</formula>
    </cfRule>
  </conditionalFormatting>
  <conditionalFormatting sqref="E73">
    <cfRule type="expression" priority="61" dxfId="1">
      <formula>AND(F73&lt;&gt;"", F73-TODAY()&lt;90)</formula>
    </cfRule>
    <cfRule type="expression" priority="62" dxfId="0">
      <formula>AND(F73&lt;&gt;"", F73&lt;TODAY())</formula>
    </cfRule>
  </conditionalFormatting>
  <conditionalFormatting sqref="E75">
    <cfRule type="expression" priority="59" dxfId="1">
      <formula>AND(F75&lt;&gt;"", F75-TODAY()&lt;90)</formula>
    </cfRule>
    <cfRule type="expression" priority="60" dxfId="0">
      <formula>AND(F75&lt;&gt;"", F75&lt;TODAY())</formula>
    </cfRule>
  </conditionalFormatting>
  <conditionalFormatting sqref="E76">
    <cfRule type="expression" priority="57" dxfId="1">
      <formula>AND(F76&lt;&gt;"", F76-TODAY()&lt;90)</formula>
    </cfRule>
    <cfRule type="expression" priority="58" dxfId="0">
      <formula>AND(F76&lt;&gt;"", F76&lt;TODAY())</formula>
    </cfRule>
  </conditionalFormatting>
  <conditionalFormatting sqref="E78">
    <cfRule type="expression" priority="55" dxfId="1">
      <formula>AND(F78&lt;&gt;"", F78-TODAY()&lt;90)</formula>
    </cfRule>
    <cfRule type="expression" priority="56" dxfId="0">
      <formula>AND(F78&lt;&gt;"", F78&lt;TODAY())</formula>
    </cfRule>
  </conditionalFormatting>
  <conditionalFormatting sqref="E79">
    <cfRule type="expression" priority="53" dxfId="1">
      <formula>AND(F79&lt;&gt;"", F79-TODAY()&lt;90)</formula>
    </cfRule>
    <cfRule type="expression" priority="54" dxfId="0">
      <formula>AND(F79&lt;&gt;"", F79&lt;TODAY())</formula>
    </cfRule>
  </conditionalFormatting>
  <conditionalFormatting sqref="E81">
    <cfRule type="expression" priority="51" dxfId="1">
      <formula>AND(F81&lt;&gt;"", F81-TODAY()&lt;90)</formula>
    </cfRule>
    <cfRule type="expression" priority="52" dxfId="0">
      <formula>AND(F81&lt;&gt;"", F81&lt;TODAY())</formula>
    </cfRule>
  </conditionalFormatting>
  <conditionalFormatting sqref="E82">
    <cfRule type="expression" priority="49" dxfId="1">
      <formula>AND(F82&lt;&gt;"", F82-TODAY()&lt;90)</formula>
    </cfRule>
    <cfRule type="expression" priority="50" dxfId="0">
      <formula>AND(F82&lt;&gt;"", F82&lt;TODAY())</formula>
    </cfRule>
  </conditionalFormatting>
  <conditionalFormatting sqref="E84">
    <cfRule type="expression" priority="47" dxfId="1">
      <formula>AND(F84&lt;&gt;"", F84-TODAY()&lt;90)</formula>
    </cfRule>
    <cfRule type="expression" priority="48" dxfId="0">
      <formula>AND(F84&lt;&gt;"", F84&lt;TODAY())</formula>
    </cfRule>
  </conditionalFormatting>
  <conditionalFormatting sqref="E85">
    <cfRule type="expression" priority="45" dxfId="1">
      <formula>AND(F85&lt;&gt;"", F85-TODAY()&lt;90)</formula>
    </cfRule>
    <cfRule type="expression" priority="46" dxfId="0">
      <formula>AND(F85&lt;&gt;"", F85&lt;TODAY())</formula>
    </cfRule>
  </conditionalFormatting>
  <conditionalFormatting sqref="E86">
    <cfRule type="expression" priority="43" dxfId="1">
      <formula>AND(F86&lt;&gt;"", F86-TODAY()&lt;90)</formula>
    </cfRule>
    <cfRule type="expression" priority="44" dxfId="0">
      <formula>AND(F86&lt;&gt;"", F86&lt;TODAY())</formula>
    </cfRule>
  </conditionalFormatting>
  <conditionalFormatting sqref="E89">
    <cfRule type="expression" priority="41" dxfId="1">
      <formula>AND(F89&lt;&gt;"", F89-TODAY()&lt;90)</formula>
    </cfRule>
    <cfRule type="expression" priority="42" dxfId="0">
      <formula>AND(F89&lt;&gt;"", F89&lt;TODAY())</formula>
    </cfRule>
  </conditionalFormatting>
  <conditionalFormatting sqref="E96">
    <cfRule type="expression" priority="39" dxfId="1">
      <formula>AND(F96&lt;&gt;"", F96-TODAY()&lt;90)</formula>
    </cfRule>
    <cfRule type="expression" priority="40" dxfId="0">
      <formula>AND(F96&lt;&gt;"", F96&lt;TODAY())</formula>
    </cfRule>
  </conditionalFormatting>
  <conditionalFormatting sqref="E99">
    <cfRule type="expression" priority="37" dxfId="1">
      <formula>AND(F99&lt;&gt;"", F99-TODAY()&lt;90)</formula>
    </cfRule>
    <cfRule type="expression" priority="38" dxfId="0">
      <formula>AND(F99&lt;&gt;"", F99&lt;TODAY())</formula>
    </cfRule>
  </conditionalFormatting>
  <conditionalFormatting sqref="E101">
    <cfRule type="expression" priority="33" dxfId="1">
      <formula>AND(F101&lt;&gt;"", F101-TODAY()&lt;90)</formula>
    </cfRule>
    <cfRule type="expression" priority="34" dxfId="0">
      <formula>AND(F101&lt;&gt;"", F101&lt;TODAY())</formula>
    </cfRule>
  </conditionalFormatting>
  <conditionalFormatting sqref="E105">
    <cfRule type="expression" priority="31" dxfId="1">
      <formula>AND(F105&lt;&gt;"", F105-TODAY()&lt;90)</formula>
    </cfRule>
    <cfRule type="expression" priority="32" dxfId="0">
      <formula>AND(F105&lt;&gt;"", F105&lt;TODAY())</formula>
    </cfRule>
  </conditionalFormatting>
  <conditionalFormatting sqref="E113">
    <cfRule type="expression" priority="29" dxfId="1">
      <formula>AND(F113&lt;&gt;"", F113-TODAY()&lt;90)</formula>
    </cfRule>
    <cfRule type="expression" priority="30" dxfId="0">
      <formula>AND(F113&lt;&gt;"", F113&lt;TODAY())</formula>
    </cfRule>
  </conditionalFormatting>
  <conditionalFormatting sqref="E120">
    <cfRule type="expression" priority="27" dxfId="1">
      <formula>AND(F120&lt;&gt;"", F120-TODAY()&lt;90)</formula>
    </cfRule>
    <cfRule type="expression" priority="28" dxfId="0">
      <formula>AND(F120&lt;&gt;"", F120&lt;TODAY())</formula>
    </cfRule>
  </conditionalFormatting>
  <conditionalFormatting sqref="E122">
    <cfRule type="expression" priority="25" dxfId="1">
      <formula>AND(F122&lt;&gt;"", F122-TODAY()&lt;90)</formula>
    </cfRule>
    <cfRule type="expression" priority="26" dxfId="0">
      <formula>AND(F122&lt;&gt;"", F122&lt;TODAY())</formula>
    </cfRule>
  </conditionalFormatting>
  <conditionalFormatting sqref="E123">
    <cfRule type="expression" priority="23" dxfId="1">
      <formula>AND(F123&lt;&gt;"", F123-TODAY()&lt;90)</formula>
    </cfRule>
    <cfRule type="expression" priority="24" dxfId="0">
      <formula>AND(F123&lt;&gt;"", F123&lt;TODAY())</formula>
    </cfRule>
  </conditionalFormatting>
  <conditionalFormatting sqref="E125">
    <cfRule type="expression" priority="21" dxfId="1">
      <formula>AND(F125&lt;&gt;"", F125-TODAY()&lt;90)</formula>
    </cfRule>
    <cfRule type="expression" priority="22" dxfId="0">
      <formula>AND(F125&lt;&gt;"", F125&lt;TODAY())</formula>
    </cfRule>
  </conditionalFormatting>
  <conditionalFormatting sqref="E126">
    <cfRule type="expression" priority="19" dxfId="1">
      <formula>AND(F126&lt;&gt;"", F126-TODAY()&lt;90)</formula>
    </cfRule>
    <cfRule type="expression" priority="20" dxfId="0">
      <formula>AND(F126&lt;&gt;"", F126&lt;TODAY())</formula>
    </cfRule>
  </conditionalFormatting>
  <conditionalFormatting sqref="E127">
    <cfRule type="expression" priority="17" dxfId="1">
      <formula>AND(F127&lt;&gt;"", F127-TODAY()&lt;90)</formula>
    </cfRule>
    <cfRule type="expression" priority="18" dxfId="0">
      <formula>AND(F127&lt;&gt;"", F127&lt;TODAY())</formula>
    </cfRule>
  </conditionalFormatting>
  <conditionalFormatting sqref="E129">
    <cfRule type="expression" priority="15" dxfId="1">
      <formula>AND(F129&lt;&gt;"", F129-TODAY()&lt;90)</formula>
    </cfRule>
    <cfRule type="expression" priority="16" dxfId="0">
      <formula>AND(F129&lt;&gt;"", F129&lt;TODAY())</formula>
    </cfRule>
  </conditionalFormatting>
  <conditionalFormatting sqref="E139">
    <cfRule type="expression" priority="13" dxfId="1">
      <formula>AND(F139&lt;&gt;"", F139-TODAY()&lt;90)</formula>
    </cfRule>
    <cfRule type="expression" priority="14" dxfId="0">
      <formula>AND(F139&lt;&gt;"", F139&lt;TODAY())</formula>
    </cfRule>
  </conditionalFormatting>
  <conditionalFormatting sqref="E140">
    <cfRule type="expression" priority="11" dxfId="1">
      <formula>AND(F140&lt;&gt;"", F140-TODAY()&lt;90)</formula>
    </cfRule>
    <cfRule type="expression" priority="12" dxfId="0">
      <formula>AND(F140&lt;&gt;"", F140&lt;TODAY())</formula>
    </cfRule>
  </conditionalFormatting>
  <conditionalFormatting sqref="E141">
    <cfRule type="expression" priority="9" dxfId="1">
      <formula>AND(F141&lt;&gt;"", F141-TODAY()&lt;90)</formula>
    </cfRule>
    <cfRule type="expression" priority="10" dxfId="0">
      <formula>AND(F141&lt;&gt;"", F141&lt;TODAY())</formula>
    </cfRule>
  </conditionalFormatting>
  <conditionalFormatting sqref="E143">
    <cfRule type="expression" priority="7" dxfId="1">
      <formula>AND(F143&lt;&gt;"", F143-TODAY()&lt;90)</formula>
    </cfRule>
    <cfRule type="expression" priority="8" dxfId="0">
      <formula>AND(F143&lt;&gt;"", F143&lt;TODAY())</formula>
    </cfRule>
  </conditionalFormatting>
  <conditionalFormatting sqref="E146">
    <cfRule type="expression" priority="5" dxfId="1">
      <formula>AND(F146&lt;&gt;"", F146-TODAY()&lt;90)</formula>
    </cfRule>
    <cfRule type="expression" priority="6" dxfId="0">
      <formula>AND(F146&lt;&gt;"", F146&lt;TODAY())</formula>
    </cfRule>
  </conditionalFormatting>
  <conditionalFormatting sqref="E100">
    <cfRule type="expression" priority="1" dxfId="1">
      <formula>AND(F100&lt;&gt;"", F100-TODAY()&lt;90)</formula>
    </cfRule>
    <cfRule type="expression" priority="2" dxfId="0">
      <formula>AND(F100&lt;&gt;"", F100&lt;TODAY())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洪義翔</dc:creator>
  <dcterms:created xmlns:dcterms="http://purl.org/dc/terms/" xmlns:xsi="http://www.w3.org/2001/XMLSchema-instance" xsi:type="dcterms:W3CDTF">2026-06-03T05:24:05Z</dcterms:created>
  <dcterms:modified xmlns:dcterms="http://purl.org/dc/terms/" xmlns:xsi="http://www.w3.org/2001/XMLSchema-instance" xsi:type="dcterms:W3CDTF">2026-06-12T08:40:32Z</dcterms:modified>
  <cp:lastModifiedBy>洪義翔</cp:lastModifiedBy>
</cp:coreProperties>
</file>